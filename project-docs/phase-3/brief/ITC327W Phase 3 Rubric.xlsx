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mbele\Documents\WIL 2026\Unit 4\"/>
    </mc:Choice>
  </mc:AlternateContent>
  <xr:revisionPtr revIDLastSave="0" documentId="13_ncr:1_{10F47ACD-DB52-42F8-82F3-1FB83D785036}" xr6:coauthVersionLast="47" xr6:coauthVersionMax="47" xr10:uidLastSave="{00000000-0000-0000-0000-000000000000}"/>
  <bookViews>
    <workbookView xWindow="-110" yWindow="-110" windowWidth="19420" windowHeight="11500" firstSheet="18" activeTab="26" xr2:uid="{00000000-000D-0000-FFFF-FFFF00000000}"/>
  </bookViews>
  <sheets>
    <sheet name="Panel Summary" sheetId="1" r:id="rId1"/>
    <sheet name="Group A" sheetId="2" r:id="rId2"/>
    <sheet name="Group B" sheetId="3" r:id="rId3"/>
    <sheet name="Group C" sheetId="4" r:id="rId4"/>
    <sheet name="Group D" sheetId="5" r:id="rId5"/>
    <sheet name="Group E" sheetId="6" r:id="rId6"/>
    <sheet name="Group F" sheetId="7" r:id="rId7"/>
    <sheet name="Group G" sheetId="8" r:id="rId8"/>
    <sheet name="Group H" sheetId="9" r:id="rId9"/>
    <sheet name="Group I" sheetId="10" r:id="rId10"/>
    <sheet name="Group J" sheetId="11" r:id="rId11"/>
    <sheet name="Group K" sheetId="12" r:id="rId12"/>
    <sheet name="Group L" sheetId="13" r:id="rId13"/>
    <sheet name="Group M" sheetId="14" r:id="rId14"/>
    <sheet name="Group N" sheetId="15" r:id="rId15"/>
    <sheet name="Group O" sheetId="16" r:id="rId16"/>
    <sheet name="Group P" sheetId="17" r:id="rId17"/>
    <sheet name="Group Q" sheetId="18" r:id="rId18"/>
    <sheet name="Group R" sheetId="19" r:id="rId19"/>
    <sheet name="Group S" sheetId="20" r:id="rId20"/>
    <sheet name="Group T" sheetId="21" r:id="rId21"/>
    <sheet name="Group U" sheetId="22" r:id="rId22"/>
    <sheet name="Group V" sheetId="23" r:id="rId23"/>
    <sheet name="Group W" sheetId="24" r:id="rId24"/>
    <sheet name="Group X" sheetId="25" r:id="rId25"/>
    <sheet name="Group Y" sheetId="26" r:id="rId26"/>
    <sheet name="Group Z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" i="27" l="1"/>
  <c r="H15" i="27"/>
  <c r="G15" i="27"/>
  <c r="B26" i="27" s="1"/>
  <c r="H30" i="1" s="1"/>
  <c r="I14" i="27"/>
  <c r="H14" i="27"/>
  <c r="G14" i="27"/>
  <c r="I13" i="27"/>
  <c r="H13" i="27"/>
  <c r="G13" i="27"/>
  <c r="J12" i="27"/>
  <c r="J11" i="27"/>
  <c r="J10" i="27"/>
  <c r="J9" i="27"/>
  <c r="J8" i="27"/>
  <c r="J7" i="27"/>
  <c r="J6" i="27"/>
  <c r="I15" i="26"/>
  <c r="E29" i="1" s="1"/>
  <c r="H15" i="26"/>
  <c r="D29" i="1" s="1"/>
  <c r="G15" i="26"/>
  <c r="B26" i="26" s="1"/>
  <c r="H29" i="1" s="1"/>
  <c r="I14" i="26"/>
  <c r="H14" i="26"/>
  <c r="G14" i="26"/>
  <c r="J14" i="26" s="1"/>
  <c r="I13" i="26"/>
  <c r="H13" i="26"/>
  <c r="G13" i="26"/>
  <c r="J12" i="26"/>
  <c r="J11" i="26"/>
  <c r="J10" i="26"/>
  <c r="J9" i="26"/>
  <c r="J8" i="26"/>
  <c r="J7" i="26"/>
  <c r="J6" i="26"/>
  <c r="I15" i="25"/>
  <c r="E28" i="1" s="1"/>
  <c r="H15" i="25"/>
  <c r="D28" i="1" s="1"/>
  <c r="G15" i="25"/>
  <c r="C28" i="1" s="1"/>
  <c r="I14" i="25"/>
  <c r="H14" i="25"/>
  <c r="G14" i="25"/>
  <c r="J14" i="25" s="1"/>
  <c r="I13" i="25"/>
  <c r="H13" i="25"/>
  <c r="G13" i="25"/>
  <c r="J13" i="25" s="1"/>
  <c r="J12" i="25"/>
  <c r="J11" i="25"/>
  <c r="J10" i="25"/>
  <c r="J9" i="25"/>
  <c r="J8" i="25"/>
  <c r="J7" i="25"/>
  <c r="J6" i="25"/>
  <c r="I15" i="24"/>
  <c r="E27" i="1" s="1"/>
  <c r="H15" i="24"/>
  <c r="G15" i="24"/>
  <c r="I14" i="24"/>
  <c r="H14" i="24"/>
  <c r="G14" i="24"/>
  <c r="J14" i="24" s="1"/>
  <c r="I13" i="24"/>
  <c r="H13" i="24"/>
  <c r="G13" i="24"/>
  <c r="J13" i="24" s="1"/>
  <c r="J12" i="24"/>
  <c r="J11" i="24"/>
  <c r="J10" i="24"/>
  <c r="J9" i="24"/>
  <c r="J8" i="24"/>
  <c r="J7" i="24"/>
  <c r="J6" i="24"/>
  <c r="I15" i="23"/>
  <c r="E26" i="1" s="1"/>
  <c r="H15" i="23"/>
  <c r="D26" i="1" s="1"/>
  <c r="G15" i="23"/>
  <c r="I14" i="23"/>
  <c r="H14" i="23"/>
  <c r="G14" i="23"/>
  <c r="I13" i="23"/>
  <c r="H13" i="23"/>
  <c r="G13" i="23"/>
  <c r="J12" i="23"/>
  <c r="J11" i="23"/>
  <c r="J10" i="23"/>
  <c r="J9" i="23"/>
  <c r="J8" i="23"/>
  <c r="J7" i="23"/>
  <c r="J6" i="23"/>
  <c r="I16" i="22"/>
  <c r="H16" i="22"/>
  <c r="G16" i="22"/>
  <c r="I15" i="22"/>
  <c r="H15" i="22"/>
  <c r="G15" i="22"/>
  <c r="J15" i="22" s="1"/>
  <c r="I14" i="22"/>
  <c r="H14" i="22"/>
  <c r="G14" i="22"/>
  <c r="J14" i="22" s="1"/>
  <c r="J13" i="22"/>
  <c r="J12" i="22"/>
  <c r="J11" i="22"/>
  <c r="J10" i="22"/>
  <c r="J9" i="22"/>
  <c r="J8" i="22"/>
  <c r="J7" i="22"/>
  <c r="I17" i="21"/>
  <c r="E24" i="1" s="1"/>
  <c r="H17" i="21"/>
  <c r="G17" i="21"/>
  <c r="B28" i="21" s="1"/>
  <c r="H24" i="1" s="1"/>
  <c r="J16" i="21"/>
  <c r="I16" i="21"/>
  <c r="H16" i="21"/>
  <c r="G16" i="21"/>
  <c r="I15" i="21"/>
  <c r="H15" i="21"/>
  <c r="G15" i="21"/>
  <c r="J15" i="21" s="1"/>
  <c r="J14" i="21"/>
  <c r="J13" i="21"/>
  <c r="J12" i="21"/>
  <c r="J11" i="21"/>
  <c r="J10" i="21"/>
  <c r="J9" i="21"/>
  <c r="J8" i="21"/>
  <c r="I17" i="20"/>
  <c r="H17" i="20"/>
  <c r="B28" i="20" s="1"/>
  <c r="H23" i="1" s="1"/>
  <c r="G17" i="20"/>
  <c r="J17" i="20" s="1"/>
  <c r="I16" i="20"/>
  <c r="H16" i="20"/>
  <c r="G16" i="20"/>
  <c r="J16" i="20" s="1"/>
  <c r="J15" i="20"/>
  <c r="I15" i="20"/>
  <c r="H15" i="20"/>
  <c r="G15" i="20"/>
  <c r="J14" i="20"/>
  <c r="J13" i="20"/>
  <c r="J12" i="20"/>
  <c r="J11" i="20"/>
  <c r="J10" i="20"/>
  <c r="J9" i="20"/>
  <c r="J8" i="20"/>
  <c r="B28" i="19"/>
  <c r="H22" i="1" s="1"/>
  <c r="J18" i="19"/>
  <c r="J17" i="19"/>
  <c r="I17" i="19"/>
  <c r="H17" i="19"/>
  <c r="G17" i="19"/>
  <c r="I16" i="19"/>
  <c r="H16" i="19"/>
  <c r="G16" i="19"/>
  <c r="J16" i="19" s="1"/>
  <c r="I15" i="19"/>
  <c r="H15" i="19"/>
  <c r="G15" i="19"/>
  <c r="J15" i="19" s="1"/>
  <c r="J14" i="19"/>
  <c r="J13" i="19"/>
  <c r="J12" i="19"/>
  <c r="J11" i="19"/>
  <c r="J10" i="19"/>
  <c r="J9" i="19"/>
  <c r="J8" i="19"/>
  <c r="I17" i="18"/>
  <c r="E21" i="1" s="1"/>
  <c r="H17" i="18"/>
  <c r="G17" i="18"/>
  <c r="I16" i="18"/>
  <c r="H16" i="18"/>
  <c r="G16" i="18"/>
  <c r="J16" i="18" s="1"/>
  <c r="J15" i="18"/>
  <c r="I15" i="18"/>
  <c r="H15" i="18"/>
  <c r="G15" i="18"/>
  <c r="J14" i="18"/>
  <c r="J13" i="18"/>
  <c r="J12" i="18"/>
  <c r="J11" i="18"/>
  <c r="J10" i="18"/>
  <c r="J9" i="18"/>
  <c r="J8" i="18"/>
  <c r="I17" i="17"/>
  <c r="H17" i="17"/>
  <c r="G17" i="17"/>
  <c r="B28" i="17" s="1"/>
  <c r="H20" i="1" s="1"/>
  <c r="J16" i="17"/>
  <c r="I16" i="17"/>
  <c r="H16" i="17"/>
  <c r="G16" i="17"/>
  <c r="I15" i="17"/>
  <c r="H15" i="17"/>
  <c r="G15" i="17"/>
  <c r="J15" i="17" s="1"/>
  <c r="J14" i="17"/>
  <c r="J13" i="17"/>
  <c r="J12" i="17"/>
  <c r="J11" i="17"/>
  <c r="J10" i="17"/>
  <c r="J9" i="17"/>
  <c r="J8" i="17"/>
  <c r="I17" i="16"/>
  <c r="E19" i="1" s="1"/>
  <c r="H17" i="16"/>
  <c r="B28" i="16" s="1"/>
  <c r="H19" i="1" s="1"/>
  <c r="G17" i="16"/>
  <c r="J17" i="16" s="1"/>
  <c r="I16" i="16"/>
  <c r="H16" i="16"/>
  <c r="G16" i="16"/>
  <c r="J16" i="16" s="1"/>
  <c r="J15" i="16"/>
  <c r="I15" i="16"/>
  <c r="H15" i="16"/>
  <c r="G15" i="16"/>
  <c r="J14" i="16"/>
  <c r="J13" i="16"/>
  <c r="J12" i="16"/>
  <c r="J11" i="16"/>
  <c r="J10" i="16"/>
  <c r="J9" i="16"/>
  <c r="J8" i="16"/>
  <c r="B28" i="15"/>
  <c r="H18" i="1" s="1"/>
  <c r="J18" i="15"/>
  <c r="J17" i="15"/>
  <c r="I17" i="15"/>
  <c r="H17" i="15"/>
  <c r="G17" i="15"/>
  <c r="I16" i="15"/>
  <c r="H16" i="15"/>
  <c r="G16" i="15"/>
  <c r="J16" i="15" s="1"/>
  <c r="I15" i="15"/>
  <c r="H15" i="15"/>
  <c r="G15" i="15"/>
  <c r="J15" i="15" s="1"/>
  <c r="J14" i="15"/>
  <c r="J13" i="15"/>
  <c r="J12" i="15"/>
  <c r="J11" i="15"/>
  <c r="J10" i="15"/>
  <c r="J9" i="15"/>
  <c r="J8" i="15"/>
  <c r="I17" i="14"/>
  <c r="E17" i="1" s="1"/>
  <c r="H17" i="14"/>
  <c r="G17" i="14"/>
  <c r="I16" i="14"/>
  <c r="H16" i="14"/>
  <c r="G16" i="14"/>
  <c r="J16" i="14" s="1"/>
  <c r="J15" i="14"/>
  <c r="I15" i="14"/>
  <c r="H15" i="14"/>
  <c r="G15" i="14"/>
  <c r="J14" i="14"/>
  <c r="J13" i="14"/>
  <c r="J12" i="14"/>
  <c r="J11" i="14"/>
  <c r="J10" i="14"/>
  <c r="J9" i="14"/>
  <c r="J8" i="14"/>
  <c r="I17" i="13"/>
  <c r="H17" i="13"/>
  <c r="G17" i="13"/>
  <c r="C16" i="1" s="1"/>
  <c r="J16" i="13"/>
  <c r="I16" i="13"/>
  <c r="H16" i="13"/>
  <c r="G16" i="13"/>
  <c r="I15" i="13"/>
  <c r="H15" i="13"/>
  <c r="G15" i="13"/>
  <c r="J15" i="13" s="1"/>
  <c r="J14" i="13"/>
  <c r="J13" i="13"/>
  <c r="J12" i="13"/>
  <c r="J11" i="13"/>
  <c r="J10" i="13"/>
  <c r="J9" i="13"/>
  <c r="J8" i="13"/>
  <c r="I17" i="12"/>
  <c r="E15" i="1" s="1"/>
  <c r="H17" i="12"/>
  <c r="B28" i="12" s="1"/>
  <c r="H15" i="1" s="1"/>
  <c r="G17" i="12"/>
  <c r="J17" i="12" s="1"/>
  <c r="I16" i="12"/>
  <c r="H16" i="12"/>
  <c r="G16" i="12"/>
  <c r="J16" i="12" s="1"/>
  <c r="J15" i="12"/>
  <c r="I15" i="12"/>
  <c r="H15" i="12"/>
  <c r="G15" i="12"/>
  <c r="J14" i="12"/>
  <c r="J13" i="12"/>
  <c r="J12" i="12"/>
  <c r="J11" i="12"/>
  <c r="J10" i="12"/>
  <c r="J9" i="12"/>
  <c r="J8" i="12"/>
  <c r="B28" i="11"/>
  <c r="H14" i="1" s="1"/>
  <c r="J18" i="11"/>
  <c r="J17" i="11"/>
  <c r="I17" i="11"/>
  <c r="H17" i="11"/>
  <c r="G17" i="11"/>
  <c r="I16" i="11"/>
  <c r="H16" i="11"/>
  <c r="G16" i="11"/>
  <c r="J16" i="11" s="1"/>
  <c r="I15" i="11"/>
  <c r="H15" i="11"/>
  <c r="G15" i="11"/>
  <c r="J15" i="11" s="1"/>
  <c r="J14" i="11"/>
  <c r="J13" i="11"/>
  <c r="J12" i="11"/>
  <c r="J11" i="11"/>
  <c r="J10" i="11"/>
  <c r="J9" i="11"/>
  <c r="J8" i="11"/>
  <c r="I17" i="10"/>
  <c r="B28" i="10" s="1"/>
  <c r="H13" i="1" s="1"/>
  <c r="H17" i="10"/>
  <c r="G17" i="10"/>
  <c r="I16" i="10"/>
  <c r="H16" i="10"/>
  <c r="G16" i="10"/>
  <c r="J16" i="10" s="1"/>
  <c r="I15" i="10"/>
  <c r="H15" i="10"/>
  <c r="J15" i="10" s="1"/>
  <c r="G15" i="10"/>
  <c r="J14" i="10"/>
  <c r="J13" i="10"/>
  <c r="J12" i="10"/>
  <c r="J11" i="10"/>
  <c r="J10" i="10"/>
  <c r="J9" i="10"/>
  <c r="J8" i="10"/>
  <c r="I17" i="9"/>
  <c r="E12" i="1" s="1"/>
  <c r="H17" i="9"/>
  <c r="G17" i="9"/>
  <c r="B28" i="9" s="1"/>
  <c r="H12" i="1" s="1"/>
  <c r="J16" i="9"/>
  <c r="I16" i="9"/>
  <c r="H16" i="9"/>
  <c r="G16" i="9"/>
  <c r="I15" i="9"/>
  <c r="H15" i="9"/>
  <c r="G15" i="9"/>
  <c r="J15" i="9" s="1"/>
  <c r="J14" i="9"/>
  <c r="J13" i="9"/>
  <c r="J12" i="9"/>
  <c r="J11" i="9"/>
  <c r="J10" i="9"/>
  <c r="J9" i="9"/>
  <c r="J8" i="9"/>
  <c r="I17" i="8"/>
  <c r="H17" i="8"/>
  <c r="B28" i="8" s="1"/>
  <c r="H11" i="1" s="1"/>
  <c r="G17" i="8"/>
  <c r="J17" i="8" s="1"/>
  <c r="I16" i="8"/>
  <c r="H16" i="8"/>
  <c r="G16" i="8"/>
  <c r="J16" i="8" s="1"/>
  <c r="J15" i="8"/>
  <c r="I15" i="8"/>
  <c r="H15" i="8"/>
  <c r="G15" i="8"/>
  <c r="J14" i="8"/>
  <c r="J13" i="8"/>
  <c r="J12" i="8"/>
  <c r="J11" i="8"/>
  <c r="J10" i="8"/>
  <c r="J9" i="8"/>
  <c r="J8" i="8"/>
  <c r="B28" i="7"/>
  <c r="H10" i="1" s="1"/>
  <c r="J18" i="7"/>
  <c r="G10" i="1" s="1"/>
  <c r="J17" i="7"/>
  <c r="I17" i="7"/>
  <c r="H17" i="7"/>
  <c r="G17" i="7"/>
  <c r="I16" i="7"/>
  <c r="H16" i="7"/>
  <c r="G16" i="7"/>
  <c r="J16" i="7" s="1"/>
  <c r="I15" i="7"/>
  <c r="H15" i="7"/>
  <c r="G15" i="7"/>
  <c r="J15" i="7" s="1"/>
  <c r="J14" i="7"/>
  <c r="J13" i="7"/>
  <c r="J12" i="7"/>
  <c r="J11" i="7"/>
  <c r="J10" i="7"/>
  <c r="J9" i="7"/>
  <c r="J8" i="7"/>
  <c r="I17" i="6"/>
  <c r="E9" i="1" s="1"/>
  <c r="H17" i="6"/>
  <c r="D9" i="1" s="1"/>
  <c r="G17" i="6"/>
  <c r="I16" i="6"/>
  <c r="H16" i="6"/>
  <c r="G16" i="6"/>
  <c r="J16" i="6" s="1"/>
  <c r="I15" i="6"/>
  <c r="H15" i="6"/>
  <c r="J15" i="6" s="1"/>
  <c r="G15" i="6"/>
  <c r="J14" i="6"/>
  <c r="J13" i="6"/>
  <c r="J12" i="6"/>
  <c r="J11" i="6"/>
  <c r="J10" i="6"/>
  <c r="J9" i="6"/>
  <c r="J8" i="6"/>
  <c r="I17" i="5"/>
  <c r="H17" i="5"/>
  <c r="G17" i="5"/>
  <c r="B28" i="5" s="1"/>
  <c r="H8" i="1" s="1"/>
  <c r="J16" i="5"/>
  <c r="I16" i="5"/>
  <c r="H16" i="5"/>
  <c r="G16" i="5"/>
  <c r="I15" i="5"/>
  <c r="H15" i="5"/>
  <c r="G15" i="5"/>
  <c r="J15" i="5" s="1"/>
  <c r="J14" i="5"/>
  <c r="J13" i="5"/>
  <c r="J12" i="5"/>
  <c r="J11" i="5"/>
  <c r="J10" i="5"/>
  <c r="J9" i="5"/>
  <c r="J8" i="5"/>
  <c r="I17" i="4"/>
  <c r="E7" i="1" s="1"/>
  <c r="H17" i="4"/>
  <c r="B28" i="4" s="1"/>
  <c r="H7" i="1" s="1"/>
  <c r="G17" i="4"/>
  <c r="J17" i="4" s="1"/>
  <c r="I16" i="4"/>
  <c r="H16" i="4"/>
  <c r="G16" i="4"/>
  <c r="J16" i="4" s="1"/>
  <c r="J15" i="4"/>
  <c r="I15" i="4"/>
  <c r="H15" i="4"/>
  <c r="G15" i="4"/>
  <c r="J14" i="4"/>
  <c r="J13" i="4"/>
  <c r="J12" i="4"/>
  <c r="J11" i="4"/>
  <c r="J10" i="4"/>
  <c r="J9" i="4"/>
  <c r="J8" i="4"/>
  <c r="B28" i="3"/>
  <c r="H6" i="1" s="1"/>
  <c r="J18" i="3"/>
  <c r="J17" i="3"/>
  <c r="I17" i="3"/>
  <c r="H17" i="3"/>
  <c r="G17" i="3"/>
  <c r="I16" i="3"/>
  <c r="H16" i="3"/>
  <c r="G16" i="3"/>
  <c r="J16" i="3" s="1"/>
  <c r="I15" i="3"/>
  <c r="H15" i="3"/>
  <c r="G15" i="3"/>
  <c r="J15" i="3" s="1"/>
  <c r="J14" i="3"/>
  <c r="J13" i="3"/>
  <c r="J12" i="3"/>
  <c r="J11" i="3"/>
  <c r="J10" i="3"/>
  <c r="J9" i="3"/>
  <c r="J8" i="3"/>
  <c r="I17" i="2"/>
  <c r="E5" i="1" s="1"/>
  <c r="H17" i="2"/>
  <c r="D5" i="1" s="1"/>
  <c r="G17" i="2"/>
  <c r="I16" i="2"/>
  <c r="H16" i="2"/>
  <c r="G16" i="2"/>
  <c r="J16" i="2" s="1"/>
  <c r="I15" i="2"/>
  <c r="H15" i="2"/>
  <c r="J15" i="2" s="1"/>
  <c r="G15" i="2"/>
  <c r="J14" i="2"/>
  <c r="J13" i="2"/>
  <c r="J12" i="2"/>
  <c r="J11" i="2"/>
  <c r="J10" i="2"/>
  <c r="J9" i="2"/>
  <c r="J8" i="2"/>
  <c r="E30" i="1"/>
  <c r="D30" i="1"/>
  <c r="C30" i="1"/>
  <c r="B30" i="1"/>
  <c r="B29" i="1"/>
  <c r="B28" i="1"/>
  <c r="B27" i="1"/>
  <c r="B26" i="1"/>
  <c r="D25" i="1"/>
  <c r="C25" i="1"/>
  <c r="B25" i="1"/>
  <c r="D24" i="1"/>
  <c r="C24" i="1"/>
  <c r="B24" i="1"/>
  <c r="E23" i="1"/>
  <c r="D23" i="1"/>
  <c r="C23" i="1"/>
  <c r="B23" i="1"/>
  <c r="G22" i="1"/>
  <c r="F22" i="1"/>
  <c r="E22" i="1"/>
  <c r="D22" i="1"/>
  <c r="C22" i="1"/>
  <c r="B22" i="1"/>
  <c r="D21" i="1"/>
  <c r="C21" i="1"/>
  <c r="B21" i="1"/>
  <c r="E20" i="1"/>
  <c r="D20" i="1"/>
  <c r="C20" i="1"/>
  <c r="B20" i="1"/>
  <c r="C19" i="1"/>
  <c r="B19" i="1"/>
  <c r="G18" i="1"/>
  <c r="F18" i="1"/>
  <c r="E18" i="1"/>
  <c r="D18" i="1"/>
  <c r="C18" i="1"/>
  <c r="B18" i="1"/>
  <c r="D17" i="1"/>
  <c r="C17" i="1"/>
  <c r="B17" i="1"/>
  <c r="E16" i="1"/>
  <c r="D16" i="1"/>
  <c r="B16" i="1"/>
  <c r="D15" i="1"/>
  <c r="C15" i="1"/>
  <c r="B15" i="1"/>
  <c r="G14" i="1"/>
  <c r="F14" i="1"/>
  <c r="E14" i="1"/>
  <c r="D14" i="1"/>
  <c r="C14" i="1"/>
  <c r="B14" i="1"/>
  <c r="D13" i="1"/>
  <c r="C13" i="1"/>
  <c r="B13" i="1"/>
  <c r="D12" i="1"/>
  <c r="C12" i="1"/>
  <c r="B12" i="1"/>
  <c r="E11" i="1"/>
  <c r="D11" i="1"/>
  <c r="C11" i="1"/>
  <c r="B11" i="1"/>
  <c r="F10" i="1"/>
  <c r="E10" i="1"/>
  <c r="D10" i="1"/>
  <c r="C10" i="1"/>
  <c r="B10" i="1"/>
  <c r="C9" i="1"/>
  <c r="B9" i="1"/>
  <c r="E8" i="1"/>
  <c r="D8" i="1"/>
  <c r="C8" i="1"/>
  <c r="B8" i="1"/>
  <c r="C7" i="1"/>
  <c r="B7" i="1"/>
  <c r="G6" i="1"/>
  <c r="F6" i="1"/>
  <c r="E6" i="1"/>
  <c r="D6" i="1"/>
  <c r="C6" i="1"/>
  <c r="B6" i="1"/>
  <c r="C5" i="1"/>
  <c r="B5" i="1"/>
  <c r="J13" i="27" l="1"/>
  <c r="J14" i="27"/>
  <c r="J15" i="27"/>
  <c r="F30" i="1" s="1"/>
  <c r="C29" i="1"/>
  <c r="J13" i="26"/>
  <c r="J15" i="24"/>
  <c r="B26" i="24"/>
  <c r="H27" i="1" s="1"/>
  <c r="C27" i="1"/>
  <c r="D27" i="1"/>
  <c r="J15" i="23"/>
  <c r="J14" i="23"/>
  <c r="F26" i="1"/>
  <c r="J16" i="23"/>
  <c r="G26" i="1" s="1"/>
  <c r="B26" i="23"/>
  <c r="H26" i="1" s="1"/>
  <c r="J13" i="23"/>
  <c r="C26" i="1"/>
  <c r="B27" i="22"/>
  <c r="H25" i="1" s="1"/>
  <c r="J18" i="12"/>
  <c r="G15" i="1" s="1"/>
  <c r="F15" i="1"/>
  <c r="J18" i="8"/>
  <c r="G11" i="1" s="1"/>
  <c r="F11" i="1"/>
  <c r="F7" i="1"/>
  <c r="J18" i="4"/>
  <c r="G7" i="1" s="1"/>
  <c r="J16" i="24"/>
  <c r="G27" i="1" s="1"/>
  <c r="F27" i="1"/>
  <c r="J18" i="20"/>
  <c r="G23" i="1" s="1"/>
  <c r="F23" i="1"/>
  <c r="J16" i="27"/>
  <c r="G30" i="1" s="1"/>
  <c r="F19" i="1"/>
  <c r="J18" i="16"/>
  <c r="G19" i="1" s="1"/>
  <c r="J15" i="26"/>
  <c r="J17" i="2"/>
  <c r="J17" i="6"/>
  <c r="J17" i="10"/>
  <c r="J17" i="14"/>
  <c r="J17" i="18"/>
  <c r="J16" i="22"/>
  <c r="E13" i="1"/>
  <c r="E25" i="1"/>
  <c r="B28" i="2"/>
  <c r="H5" i="1" s="1"/>
  <c r="D32" i="1" s="1"/>
  <c r="F32" i="1" s="1"/>
  <c r="B28" i="6"/>
  <c r="H9" i="1" s="1"/>
  <c r="B28" i="14"/>
  <c r="H17" i="1" s="1"/>
  <c r="B28" i="18"/>
  <c r="H21" i="1" s="1"/>
  <c r="J17" i="5"/>
  <c r="J17" i="9"/>
  <c r="J17" i="13"/>
  <c r="J17" i="17"/>
  <c r="J17" i="21"/>
  <c r="J15" i="25"/>
  <c r="B26" i="25"/>
  <c r="H28" i="1" s="1"/>
  <c r="D7" i="1"/>
  <c r="D19" i="1"/>
  <c r="B28" i="13"/>
  <c r="H16" i="1" s="1"/>
  <c r="F25" i="1" l="1"/>
  <c r="J17" i="22"/>
  <c r="G25" i="1" s="1"/>
  <c r="F12" i="1"/>
  <c r="J18" i="9"/>
  <c r="G12" i="1" s="1"/>
  <c r="F9" i="1"/>
  <c r="J18" i="6"/>
  <c r="G9" i="1" s="1"/>
  <c r="J18" i="21"/>
  <c r="G24" i="1" s="1"/>
  <c r="F24" i="1"/>
  <c r="J18" i="17"/>
  <c r="G20" i="1" s="1"/>
  <c r="F20" i="1"/>
  <c r="J18" i="5"/>
  <c r="G8" i="1" s="1"/>
  <c r="F8" i="1"/>
  <c r="F29" i="1"/>
  <c r="J16" i="26"/>
  <c r="G29" i="1" s="1"/>
  <c r="F13" i="1"/>
  <c r="J18" i="10"/>
  <c r="G13" i="1" s="1"/>
  <c r="J16" i="25"/>
  <c r="G28" i="1" s="1"/>
  <c r="F28" i="1"/>
  <c r="F21" i="1"/>
  <c r="J18" i="18"/>
  <c r="G21" i="1" s="1"/>
  <c r="F17" i="1"/>
  <c r="J18" i="14"/>
  <c r="G17" i="1" s="1"/>
  <c r="J18" i="13"/>
  <c r="G16" i="1" s="1"/>
  <c r="F16" i="1"/>
  <c r="F5" i="1"/>
  <c r="J18" i="2"/>
  <c r="G5" i="1" s="1"/>
</calcChain>
</file>

<file path=xl/sharedStrings.xml><?xml version="1.0" encoding="utf-8"?>
<sst xmlns="http://schemas.openxmlformats.org/spreadsheetml/2006/main" count="1784" uniqueCount="130">
  <si>
    <t>Marks are entered on each group's tab. The panel result appears after all seven criteria have been marked by all three lecturers.</t>
  </si>
  <si>
    <t>Group</t>
  </si>
  <si>
    <t>Project / Stakeholder</t>
  </si>
  <si>
    <t>Lecturer 1 /100</t>
  </si>
  <si>
    <t>Lecturer 2 /100</t>
  </si>
  <si>
    <t>Lecturer 3 /100</t>
  </si>
  <si>
    <t>Panel Average /100</t>
  </si>
  <si>
    <t>Phase 3 Mark /50</t>
  </si>
  <si>
    <t>Marking Status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</si>
  <si>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</si>
  <si>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</si>
  <si>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</si>
  <si>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</si>
  <si>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</si>
  <si>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</si>
  <si>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</si>
  <si>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</si>
  <si>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</si>
  <si>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</si>
  <si>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</si>
  <si>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</si>
  <si>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Group M</t>
  </si>
  <si>
    <t>Group N</t>
  </si>
  <si>
    <t>Group O</t>
  </si>
  <si>
    <t>Group P</t>
  </si>
  <si>
    <t>Group Q</t>
  </si>
  <si>
    <t>Group R</t>
  </si>
  <si>
    <t>Group S</t>
  </si>
  <si>
    <t>Group T</t>
  </si>
  <si>
    <t>Group U</t>
  </si>
  <si>
    <t>Group V</t>
  </si>
  <si>
    <t>Group W</t>
  </si>
  <si>
    <t>Group X</t>
  </si>
  <si>
    <t>Group Y</t>
  </si>
  <si>
    <t>Group Z</t>
  </si>
  <si>
    <t>Panel progress</t>
  </si>
  <si>
    <t>Groups complete</t>
  </si>
  <si>
    <t>Groups remaining</t>
  </si>
  <si>
    <t>Phase 3 weight</t>
  </si>
  <si>
    <t>50%</t>
  </si>
  <si>
    <t>HOW TO MARK</t>
  </si>
  <si>
    <t>1. Open the relevant Group A–Z tab. Each lecturer enters their own name, seven criterion marks and feedback in their yellow cells. 2. Enter a numeric mark from zero up to the displayed maximum, including zero if applicable. 3. Presentation and live demonstration are one combined criterion worth 30 marks. 4. Design/prototype evidence subtotal /70, presentation /30, each lecturer's total /100, panel average /100 and the final weighted mark /50 calculate automatically. 5. The group is Complete only after all three lecturers enter all seven marks. Do not type marks into Panel Summary.</t>
  </si>
  <si>
    <t>ITC327W | PHASE 3: FINAL PROTOTYPE | GROUP A</t>
  </si>
  <si>
    <t>Assessment</t>
  </si>
  <si>
    <t>Assessment 3 (50% of module)</t>
  </si>
  <si>
    <t>Group Members</t>
  </si>
  <si>
    <t>Lecturer 1</t>
  </si>
  <si>
    <t>Lecturer 2</t>
  </si>
  <si>
    <t>Lecturer 3</t>
  </si>
  <si>
    <t>Assessment criterion</t>
  </si>
  <si>
    <t>Maximum</t>
  </si>
  <si>
    <t>Excellent</t>
  </si>
  <si>
    <t>Good</t>
  </si>
  <si>
    <t>Satisfactory</t>
  </si>
  <si>
    <t>Inadequate</t>
  </si>
  <si>
    <t>Panel Average</t>
  </si>
  <si>
    <t>Panel Comment</t>
  </si>
  <si>
    <t>Shared Supabase Backend</t>
  </si>
  <si>
    <t>Database implements the approved ERD, appropriate keys and relationships, and required operations. Authentication and access controls work where required. Both apps use one shared Supabase project.</t>
  </si>
  <si>
    <t>Required database structure and shared services are implemented with minor omissions or errors.</t>
  </si>
  <si>
    <t>Basic backend works, but important tables, operations, permissions or relationships are incomplete.</t>
  </si>
  <si>
    <t>Backend is largely incomplete, unreliable or not shared by the two applications.</t>
  </si>
  <si>
    <t>Flutter Mobile Application</t>
  </si>
  <si>
    <t>Approved main screens, navigation, forms and functions work reliably and use Supabase. Access and user workflows follow the SRS.</t>
  </si>
  <si>
    <t>Most approved screens and functions work; minor gaps do not substantially affect the intended workflows.</t>
  </si>
  <si>
    <t>Some mobile screens and functions work, but several important requirements or backend operations remain incomplete.</t>
  </si>
  <si>
    <t>Mobile application cannot demonstrate its main approved functions or is largely incomplete.</t>
  </si>
  <si>
    <t>ASP.NET Web Application</t>
  </si>
  <si>
    <t>Approved main pages, navigation, forms and functions work reliably and use Supabase. Access and user workflows follow the SRS.</t>
  </si>
  <si>
    <t>Most approved pages and functions work; minor gaps do not substantially affect the intended workflows.</t>
  </si>
  <si>
    <t>Some web pages and functions work, but several important requirements or backend operations remain incomplete.</t>
  </si>
  <si>
    <t>Web application cannot demonstrate its main approved functions or is largely incomplete.</t>
  </si>
  <si>
    <t>Integration and Functional Correctness</t>
  </si>
  <si>
    <t>Both applications use the same Supabase records. At least two important approved shared processes work end to end, with consistent retrieval, updates and permitted access.</t>
  </si>
  <si>
    <t>Shared backend and two relevant processes are demonstrated, with minor inconsistencies or limitations.</t>
  </si>
  <si>
    <t>Integration is partly functional; one or more shared processes, updates or access rules have important gaps.</t>
  </si>
  <si>
    <t>Applications do not meaningfully share data or required integrated processes cannot be demonstrated.</t>
  </si>
  <si>
    <t>Final SRS and Implementation Evidence</t>
  </si>
  <si>
    <t>The existing SRS is continued with a clear implementation section, requirement-to-function status, appropriate screenshots, approved changes, known limitations, GitHub link and MS Project screenshot.</t>
  </si>
  <si>
    <t>Updated SRS and evidence are mostly complete, with minor gaps.</t>
  </si>
  <si>
    <t>Implementation section or evidence is incomplete; requirements and working status are only partly documented.</t>
  </si>
  <si>
    <t>Final SRS or important implementation evidence is largely absent or inaccurate.</t>
  </si>
  <si>
    <t>Microsoft Project, GitHub and Progress Tracker</t>
  </si>
  <si>
    <t>Editable schedule reflects actual progress; GitHub and submitted ZIP contain the demonstrated version with organised code and setup guidance; tracker records tasks, contributions, challenges and final group reflection.</t>
  </si>
  <si>
    <t>Project records and source code are current and generally organised, with minor gaps.</t>
  </si>
  <si>
    <t>Some required files or updates are present, but progress, contributions, version consistency or setup details are weak.</t>
  </si>
  <si>
    <t>Essential project records or source code are missing, inaccessible or do not represent the demonstrated version.</t>
  </si>
  <si>
    <t>Final Presentation and Live Demonstration</t>
  </si>
  <si>
    <t>Clear, organised live demonstration of the working Flutter, ASP.NET and Supabase solution, including at least two shared processes. Members participate meaningfully, explain decisions and limitations, and answer panel questions accurately.</t>
  </si>
  <si>
    <t>Main functions and shared processes are demonstrated clearly; explanations, participation and responses have only minor gaps.</t>
  </si>
  <si>
    <t>Demonstration shows some functionality but has important gaps in integration, clarity, participation or defence.</t>
  </si>
  <si>
    <t>Live demonstration does not show the essential working system, or the group cannot adequately explain its work.</t>
  </si>
  <si>
    <t>PROTOTYPE AND PROJECT EVIDENCE / 70</t>
  </si>
  <si>
    <t>Prototype subtotal /70</t>
  </si>
  <si>
    <t>FINAL PRESENTATION / 30</t>
  </si>
  <si>
    <t>Presentation subtotal /30</t>
  </si>
  <si>
    <t>LECTURER TOTALS / 100</t>
  </si>
  <si>
    <t>Panel average /100</t>
  </si>
  <si>
    <t>FINAL PHASE 3 MARK / 50</t>
  </si>
  <si>
    <t>/50</t>
  </si>
  <si>
    <t>Lecturer 1 Feedback</t>
  </si>
  <si>
    <t>Lecturer 2 Feedback</t>
  </si>
  <si>
    <t>Lecturer 3 Feedback</t>
  </si>
  <si>
    <t>Panel / Final Feedback</t>
  </si>
  <si>
    <t>Panel Date</t>
  </si>
  <si>
    <t>ITC327W | PHASE 3: FINAL PROTOTYPE | GROUP B</t>
  </si>
  <si>
    <t>ITC327W | PHASE 3: FINAL PROTOTYPE | GROUP C</t>
  </si>
  <si>
    <t>ITC327W | PHASE 3: FINAL PROTOTYPE | GROUP E</t>
  </si>
  <si>
    <t>ITC327W | PHASE 3: FINAL PROTOTYPE | GROUP F</t>
  </si>
  <si>
    <t>ITC327W | PHASE 3: FINAL PROTOTYPE | GROUP G</t>
  </si>
  <si>
    <t>ITC327W | PHASE 3: FINAL PROTOTYPE | GROUP H</t>
  </si>
  <si>
    <t>ITC327W | PHASE 3: FINAL PROTOTYPE | GROUP I</t>
  </si>
  <si>
    <t>ITC327W | PHASE 3: FINAL PROTOTYPE | GROUP J</t>
  </si>
  <si>
    <t>ITC327W | PHASE 3: FINAL PROTOTYPE | GROUP K</t>
  </si>
  <si>
    <t>ITC327W | PHASE 3: FINAL PROTOTYPE | GROUP L</t>
  </si>
  <si>
    <t>ITC327W | PHASE 3: FINAL PROTOTYPE | GROUP M</t>
  </si>
  <si>
    <t>ITC327W | PHASE 3: FINAL PROTOTYPE | GROUP N</t>
  </si>
  <si>
    <t>ITC327W | PHASE 3: FINAL PROTOTYPE | GROUP O</t>
  </si>
  <si>
    <t>ITC327W | PHASE 3: FINAL PROTOTYPE | GROUP P</t>
  </si>
  <si>
    <t>ITC327W | PHASE 3: FINAL PROTOTYPE | GROUP Q</t>
  </si>
  <si>
    <t>ITC327W | PHASE 3: FINAL PROTOTYPE | GROUP R</t>
  </si>
  <si>
    <t>ITC327W | PHASE 3: FINAL PROTOTYPE | GROUP S</t>
  </si>
  <si>
    <t>ITC327W | PHASE 3: FINAL PROTOTYPE | GROUP T</t>
  </si>
  <si>
    <t>ITC327W | PHASE 3: FINAL PROTOTYPE | GROUP U</t>
  </si>
  <si>
    <t>ITC327W | PHASE 3: FINAL PROTOTYPE | GROUP V</t>
  </si>
  <si>
    <t>ITC327W | PHASE 3: FINAL PROTOTYPE | GROUP W</t>
  </si>
  <si>
    <t>ITC327W | PHASE 3: FINAL PROTOTYPE | GROUP X</t>
  </si>
  <si>
    <t>ITC327W | PHASE 3: FINAL PROTOTYPE | GROUP Y</t>
  </si>
  <si>
    <t>ITC327W | PHASE 3: FINAL PROTOTYPE | GROUP Z</t>
  </si>
  <si>
    <t>ITC327W | PHASE 3: PANEL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</si>
</sst>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A"/>
      </patternFill>
    </fill>
    <fill>
      <patternFill patternType="solid">
        <fgColor rgb="FFFFF2CC"/>
      </patternFill>
    </fill>
    <fill>
      <patternFill patternType="solid">
        <fgColor rgb="FFE4EFF8"/>
      </patternFill>
    </fill>
    <fill>
      <patternFill patternType="solid">
        <fgColor rgb="FFE2F0D9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2" fillId="4" borderId="0" xfId="0" applyNumberFormat="1" applyFont="1" applyFill="1" applyBorder="1" applyAlignment="1">
      <alignment horizont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0" fillId="5" borderId="0" xfId="0" applyNumberFormat="1" applyFont="1" applyFill="1" applyBorder="1" applyAlignment="1">
      <alignment vertical="top" wrapText="1"/>
    </xf>
    <xf numFmtId="0" fontId="2" fillId="5" borderId="0" xfId="0" applyNumberFormat="1" applyFont="1" applyFill="1" applyBorder="1" applyAlignment="1">
      <alignment vertical="top" wrapText="1"/>
    </xf>
    <xf numFmtId="0" fontId="2" fillId="5" borderId="0" xfId="0" applyNumberFormat="1" applyFont="1" applyFill="1" applyBorder="1" applyAlignment="1">
      <alignment horizontal="center" vertical="center" wrapText="1"/>
    </xf>
    <xf numFmtId="2" fontId="2" fillId="4" borderId="0" xfId="0" applyNumberFormat="1" applyFont="1" applyFill="1" applyBorder="1" applyAlignment="1">
      <alignment horizontal="center" vertical="center" wrapText="1"/>
    </xf>
    <xf numFmtId="2" fontId="2" fillId="6" borderId="0" xfId="0" applyNumberFormat="1" applyFont="1" applyFill="1" applyBorder="1" applyAlignment="1">
      <alignment horizontal="center" vertical="center" wrapText="1"/>
    </xf>
    <xf numFmtId="0" fontId="0" fillId="3" borderId="0" xfId="0" applyNumberFormat="1" applyFont="1" applyFill="1" applyBorder="1" applyAlignment="1">
      <alignment vertical="top" wrapText="1"/>
    </xf>
    <xf numFmtId="0" fontId="2" fillId="7" borderId="0" xfId="0" applyNumberFormat="1" applyFont="1" applyFill="1" applyBorder="1" applyAlignment="1">
      <alignment vertical="center"/>
    </xf>
    <xf numFmtId="2" fontId="2" fillId="6" borderId="0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/>
    <xf numFmtId="0" fontId="2" fillId="0" borderId="0" xfId="0" applyNumberFormat="1" applyFont="1" applyFill="1" applyBorder="1"/>
    <xf numFmtId="2" fontId="0" fillId="5" borderId="0" xfId="0" applyNumberFormat="1" applyFont="1" applyFill="1" applyBorder="1" applyAlignment="1">
      <alignment horizontal="center" wrapText="1"/>
    </xf>
    <xf numFmtId="2" fontId="0" fillId="6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horizontal="center" wrapText="1"/>
    </xf>
    <xf numFmtId="0" fontId="2" fillId="6" borderId="0" xfId="0" applyNumberFormat="1" applyFont="1" applyFill="1" applyBorder="1"/>
    <xf numFmtId="0" fontId="4" fillId="2" borderId="0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/>
    <xf numFmtId="0" fontId="0" fillId="3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 applyAlignment="1">
      <alignment wrapText="1"/>
    </xf>
    <xf numFmtId="0" fontId="2" fillId="7" borderId="0" xfId="0" applyNumberFormat="1" applyFont="1" applyFill="1" applyBorder="1" applyAlignment="1">
      <alignment vertical="center"/>
    </xf>
    <xf numFmtId="2" fontId="2" fillId="6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/>
    </xf>
    <xf numFmtId="0" fontId="0" fillId="4" borderId="0" xfId="0" applyNumberFormat="1" applyFont="1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80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3857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selection activeCell="C10" sqref="C10"/>
    </sheetView>
  </sheetViews>
  <sheetFormatPr defaultRowHeight="14"/>
  <cols>
    <col min="1" max="1" width="13" customWidth="1"/>
    <col min="2" max="2" width="34" customWidth="1"/>
    <col min="3" max="5" width="18" customWidth="1"/>
    <col min="6" max="6" width="20" customWidth="1"/>
    <col min="7" max="7" width="19" customWidth="1"/>
    <col min="8" max="8" width="24" customWidth="1"/>
  </cols>
  <sheetData>
    <row r="1" spans="1:8" ht="24" customHeight="1">
      <c r="A1" s="22" t="s">
        <v>129</v>
      </c>
      <c r="B1" s="22"/>
      <c r="C1" s="22"/>
      <c r="D1" s="22"/>
      <c r="E1" s="22"/>
      <c r="F1" s="22"/>
      <c r="G1" s="22"/>
      <c r="H1" s="22"/>
    </row>
    <row r="2" spans="1:8" ht="18" customHeight="1">
      <c r="A2" s="23" t="s">
        <v>0</v>
      </c>
      <c r="B2" s="23"/>
      <c r="C2" s="23"/>
      <c r="D2" s="23"/>
      <c r="E2" s="23"/>
      <c r="F2" s="23"/>
      <c r="G2" s="23"/>
      <c r="H2" s="23"/>
    </row>
    <row r="4" spans="1:8" ht="25.4" customHeigh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8">
      <c r="A5" s="3" t="s">
        <v>9</v>
      </c>
      <c r="B5" s="1" t="str">
        <f>IF('Group A'!F3="","",'Group A'!F3)</f>
        <v/>
      </c>
      <c r="C5" s="18" t="str">
        <f>IF('Group A'!G17="","",'Group A'!G17)</f>
        <v/>
      </c>
      <c r="D5" s="18" t="str">
        <f>IF('Group A'!H17="","",'Group A'!H17)</f>
        <v/>
      </c>
      <c r="E5" s="18" t="str">
        <f>IF('Group A'!I17="","",'Group A'!I17)</f>
        <v/>
      </c>
      <c r="F5" s="19" t="str">
        <f>IF('Group A'!J17="","",'Group A'!J17)</f>
        <v/>
      </c>
      <c r="G5" s="19" t="str">
        <f>IF('Group A'!J18="","",'Group A'!J18)</f>
        <v/>
      </c>
      <c r="H5" s="20" t="str">
        <f>'Group A'!B28</f>
        <v>0/3 lecturers complete</v>
      </c>
    </row>
    <row r="6" spans="1:8">
      <c r="A6" s="3" t="s">
        <v>10</v>
      </c>
      <c r="B6" s="1" t="str">
        <f>IF('Group B'!F3="","",'Group B'!F3)</f>
        <v/>
      </c>
      <c r="C6" s="18" t="str">
        <f>IF('Group B'!G17="","",'Group B'!G17)</f>
        <v/>
      </c>
      <c r="D6" s="18" t="str">
        <f>IF('Group B'!H17="","",'Group B'!H17)</f>
        <v/>
      </c>
      <c r="E6" s="18" t="str">
        <f>IF('Group B'!I17="","",'Group B'!I17)</f>
        <v/>
      </c>
      <c r="F6" s="19" t="str">
        <f>IF('Group B'!J17="","",'Group B'!J17)</f>
        <v/>
      </c>
      <c r="G6" s="19" t="str">
        <f>IF('Group B'!J18="","",'Group B'!J18)</f>
        <v/>
      </c>
      <c r="H6" s="20" t="str">
        <f>'Group B'!B28</f>
        <v>0/3 lecturers complete</v>
      </c>
    </row>
    <row r="7" spans="1:8">
      <c r="A7" s="3" t="s">
        <v>11</v>
      </c>
      <c r="B7" s="1" t="str">
        <f>IF('Group C'!F3="","",'Group C'!F3)</f>
        <v/>
      </c>
      <c r="C7" s="18" t="str">
        <f>IF('Group C'!G17="","",'Group C'!G17)</f>
        <v/>
      </c>
      <c r="D7" s="18" t="str">
        <f>IF('Group C'!H17="","",'Group C'!H17)</f>
        <v/>
      </c>
      <c r="E7" s="18" t="str">
        <f>IF('Group C'!I17="","",'Group C'!I17)</f>
        <v/>
      </c>
      <c r="F7" s="19" t="str">
        <f>IF('Group C'!J17="","",'Group C'!J17)</f>
        <v/>
      </c>
      <c r="G7" s="19" t="str">
        <f>IF('Group C'!J18="","",'Group C'!J18)</f>
        <v/>
      </c>
      <c r="H7" s="20" t="str">
        <f>'Group C'!B28</f>
        <v>0/3 lecturers complete</v>
      </c>
    </row>
    <row r="8" spans="1:8">
      <c r="A8" s="3" t="s">
        <v>12</v>
      </c>
      <c r="B8" s="1" t="str">
        <f>IF('Group D'!F3="","",'Group D'!F3)</f>
        <v/>
      </c>
      <c r="C8" s="18" t="str">
        <f>IF('Group D'!G17="","",'Group D'!G17)</f>
        <v/>
      </c>
      <c r="D8" s="18" t="str">
        <f>IF('Group D'!H17="","",'Group D'!H17)</f>
        <v/>
      </c>
      <c r="E8" s="18" t="str">
        <f>IF('Group D'!I17="","",'Group D'!I17)</f>
        <v/>
      </c>
      <c r="F8" s="19" t="str">
        <f>IF('Group D'!J17="","",'Group D'!J17)</f>
        <v/>
      </c>
      <c r="G8" s="19" t="str">
        <f>IF('Group D'!J18="","",'Group D'!J18)</f>
        <v/>
      </c>
      <c r="H8" s="20" t="str">
        <f>'Group D'!B28</f>
        <v>0/3 lecturers complete</v>
      </c>
    </row>
    <row r="9" spans="1:8">
      <c r="A9" s="3" t="s">
        <v>13</v>
      </c>
      <c r="B9" s="1" t="str">
        <f>IF('Group E'!F3="","",'Group E'!F3)</f>
        <v/>
      </c>
      <c r="C9" s="18" t="str">
        <f>IF('Group E'!G17="","",'Group E'!G17)</f>
        <v/>
      </c>
      <c r="D9" s="18" t="str">
        <f>IF('Group E'!H17="","",'Group E'!H17)</f>
        <v/>
      </c>
      <c r="E9" s="18" t="str">
        <f>IF('Group E'!I17="","",'Group E'!I17)</f>
        <v/>
      </c>
      <c r="F9" s="19" t="str">
        <f>IF('Group E'!J17="","",'Group E'!J17)</f>
        <v/>
      </c>
      <c r="G9" s="19" t="str">
        <f>IF('Group E'!J18="","",'Group E'!J18)</f>
        <v/>
      </c>
      <c r="H9" s="20" t="str">
        <f>'Group E'!B28</f>
        <v>0/3 lecturers complete</v>
      </c>
    </row>
    <row r="10" spans="1:8">
      <c r="A10" s="3" t="s">
        <v>14</v>
      </c>
      <c r="B10" s="1" t="str">
        <f>IF('Group F'!F3="","",'Group F'!F3)</f>
        <v/>
      </c>
      <c r="C10" s="18" t="str">
        <f>IF('Group F'!G17="","",'Group F'!G17)</f>
        <v/>
      </c>
      <c r="D10" s="18" t="str">
        <f>IF('Group F'!H17="","",'Group F'!H17)</f>
        <v/>
      </c>
      <c r="E10" s="18" t="str">
        <f>IF('Group F'!I17="","",'Group F'!I17)</f>
        <v/>
      </c>
      <c r="F10" s="19" t="str">
        <f>IF('Group F'!J17="","",'Group F'!J17)</f>
        <v/>
      </c>
      <c r="G10" s="19" t="str">
        <f>IF('Group F'!J18="","",'Group F'!J18)</f>
        <v/>
      </c>
      <c r="H10" s="20" t="str">
        <f>'Group F'!B28</f>
        <v>0/3 lecturers complete</v>
      </c>
    </row>
    <row r="11" spans="1:8">
      <c r="A11" s="3" t="s">
        <v>15</v>
      </c>
      <c r="B11" s="1" t="str">
        <f>IF('Group G'!F3="","",'Group G'!F3)</f>
        <v/>
      </c>
      <c r="C11" s="18" t="str">
        <f>IF('Group G'!G17="","",'Group G'!G17)</f>
        <v/>
      </c>
      <c r="D11" s="18" t="str">
        <f>IF('Group G'!H17="","",'Group G'!H17)</f>
        <v/>
      </c>
      <c r="E11" s="18" t="str">
        <f>IF('Group G'!I17="","",'Group G'!I17)</f>
        <v/>
      </c>
      <c r="F11" s="19" t="str">
        <f>IF('Group G'!J17="","",'Group G'!J17)</f>
        <v/>
      </c>
      <c r="G11" s="19" t="str">
        <f>IF('Group G'!J18="","",'Group G'!J18)</f>
        <v/>
      </c>
      <c r="H11" s="20" t="str">
        <f>'Group G'!B28</f>
        <v>0/3 lecturers complete</v>
      </c>
    </row>
    <row r="12" spans="1:8">
      <c r="A12" s="3" t="s">
        <v>16</v>
      </c>
      <c r="B12" s="1" t="str">
        <f>IF('Group H'!F3="","",'Group H'!F3)</f>
        <v/>
      </c>
      <c r="C12" s="18" t="str">
        <f>IF('Group H'!G17="","",'Group H'!G17)</f>
        <v/>
      </c>
      <c r="D12" s="18" t="str">
        <f>IF('Group H'!H17="","",'Group H'!H17)</f>
        <v/>
      </c>
      <c r="E12" s="18" t="str">
        <f>IF('Group H'!I17="","",'Group H'!I17)</f>
        <v/>
      </c>
      <c r="F12" s="19" t="str">
        <f>IF('Group H'!J17="","",'Group H'!J17)</f>
        <v/>
      </c>
      <c r="G12" s="19" t="str">
        <f>IF('Group H'!J18="","",'Group H'!J18)</f>
        <v/>
      </c>
      <c r="H12" s="20" t="str">
        <f>'Group H'!B28</f>
        <v>0/3 lecturers complete</v>
      </c>
    </row>
    <row r="13" spans="1:8">
      <c r="A13" s="3" t="s">
        <v>17</v>
      </c>
      <c r="B13" s="1" t="str">
        <f>IF('Group I'!F3="","",'Group I'!F3)</f>
        <v/>
      </c>
      <c r="C13" s="18" t="str">
        <f>IF('Group I'!G17="","",'Group I'!G17)</f>
        <v/>
      </c>
      <c r="D13" s="18" t="str">
        <f>IF('Group I'!H17="","",'Group I'!H17)</f>
        <v/>
      </c>
      <c r="E13" s="18" t="str">
        <f>IF('Group I'!I17="","",'Group I'!I17)</f>
        <v/>
      </c>
      <c r="F13" s="19" t="str">
        <f>IF('Group I'!J17="","",'Group I'!J17)</f>
        <v/>
      </c>
      <c r="G13" s="19" t="str">
        <f>IF('Group I'!J18="","",'Group I'!J18)</f>
        <v/>
      </c>
      <c r="H13" s="20" t="str">
        <f>'Group I'!B28</f>
        <v>0/3 lecturers complete</v>
      </c>
    </row>
    <row r="14" spans="1:8">
      <c r="A14" s="3" t="s">
        <v>18</v>
      </c>
      <c r="B14" s="1" t="str">
        <f>IF('Group J'!F3="","",'Group J'!F3)</f>
        <v/>
      </c>
      <c r="C14" s="18" t="str">
        <f>IF('Group J'!G17="","",'Group J'!G17)</f>
        <v/>
      </c>
      <c r="D14" s="18" t="str">
        <f>IF('Group J'!H17="","",'Group J'!H17)</f>
        <v/>
      </c>
      <c r="E14" s="18" t="str">
        <f>IF('Group J'!I17="","",'Group J'!I17)</f>
        <v/>
      </c>
      <c r="F14" s="19" t="str">
        <f>IF('Group J'!J17="","",'Group J'!J17)</f>
        <v/>
      </c>
      <c r="G14" s="19" t="str">
        <f>IF('Group J'!J18="","",'Group J'!J18)</f>
        <v/>
      </c>
      <c r="H14" s="20" t="str">
        <f>'Group J'!B28</f>
        <v>0/3 lecturers complete</v>
      </c>
    </row>
    <row r="15" spans="1:8">
      <c r="A15" s="3" t="s">
        <v>19</v>
      </c>
      <c r="B15" s="1" t="str">
        <f>IF('Group K'!F3="","",'Group K'!F3)</f>
        <v/>
      </c>
      <c r="C15" s="18" t="str">
        <f>IF('Group K'!G17="","",'Group K'!G17)</f>
        <v/>
      </c>
      <c r="D15" s="18" t="str">
        <f>IF('Group K'!H17="","",'Group K'!H17)</f>
        <v/>
      </c>
      <c r="E15" s="18" t="str">
        <f>IF('Group K'!I17="","",'Group K'!I17)</f>
        <v/>
      </c>
      <c r="F15" s="19" t="str">
        <f>IF('Group K'!J17="","",'Group K'!J17)</f>
        <v/>
      </c>
      <c r="G15" s="19" t="str">
        <f>IF('Group K'!J18="","",'Group K'!J18)</f>
        <v/>
      </c>
      <c r="H15" s="20" t="str">
        <f>'Group K'!B28</f>
        <v>0/3 lecturers complete</v>
      </c>
    </row>
    <row r="16" spans="1:8">
      <c r="A16" s="3" t="s">
        <v>20</v>
      </c>
      <c r="B16" s="1" t="str">
        <f>IF('Group L'!F3="","",'Group L'!F3)</f>
        <v/>
      </c>
      <c r="C16" s="18" t="str">
        <f>IF('Group L'!G17="","",'Group L'!G17)</f>
        <v/>
      </c>
      <c r="D16" s="18" t="str">
        <f>IF('Group L'!H17="","",'Group L'!H17)</f>
        <v/>
      </c>
      <c r="E16" s="18" t="str">
        <f>IF('Group L'!I17="","",'Group L'!I17)</f>
        <v/>
      </c>
      <c r="F16" s="19" t="str">
        <f>IF('Group L'!J17="","",'Group L'!J17)</f>
        <v/>
      </c>
      <c r="G16" s="19" t="str">
        <f>IF('Group L'!J18="","",'Group L'!J18)</f>
        <v/>
      </c>
      <c r="H16" s="20" t="str">
        <f>'Group L'!B28</f>
        <v>0/3 lecturers complete</v>
      </c>
    </row>
    <row r="17" spans="1:8">
      <c r="A17" s="3" t="s">
        <v>21</v>
      </c>
      <c r="B17" s="1" t="str">
        <f>IF('Group M'!F3="","",'Group M'!F3)</f>
        <v/>
      </c>
      <c r="C17" s="18" t="str">
        <f>IF('Group M'!G17="","",'Group M'!G17)</f>
        <v/>
      </c>
      <c r="D17" s="18" t="str">
        <f>IF('Group M'!H17="","",'Group M'!H17)</f>
        <v/>
      </c>
      <c r="E17" s="18" t="str">
        <f>IF('Group M'!I17="","",'Group M'!I17)</f>
        <v/>
      </c>
      <c r="F17" s="19" t="str">
        <f>IF('Group M'!J17="","",'Group M'!J17)</f>
        <v/>
      </c>
      <c r="G17" s="19" t="str">
        <f>IF('Group M'!J18="","",'Group M'!J18)</f>
        <v/>
      </c>
      <c r="H17" s="20" t="str">
        <f>'Group M'!B28</f>
        <v>0/3 lecturers complete</v>
      </c>
    </row>
    <row r="18" spans="1:8">
      <c r="A18" s="3" t="s">
        <v>22</v>
      </c>
      <c r="B18" s="1" t="str">
        <f>IF('Group N'!F3="","",'Group N'!F3)</f>
        <v/>
      </c>
      <c r="C18" s="18" t="str">
        <f>IF('Group N'!G17="","",'Group N'!G17)</f>
        <v/>
      </c>
      <c r="D18" s="18" t="str">
        <f>IF('Group N'!H17="","",'Group N'!H17)</f>
        <v/>
      </c>
      <c r="E18" s="18" t="str">
        <f>IF('Group N'!I17="","",'Group N'!I17)</f>
        <v/>
      </c>
      <c r="F18" s="19" t="str">
        <f>IF('Group N'!J17="","",'Group N'!J17)</f>
        <v/>
      </c>
      <c r="G18" s="19" t="str">
        <f>IF('Group N'!J18="","",'Group N'!J18)</f>
        <v/>
      </c>
      <c r="H18" s="20" t="str">
        <f>'Group N'!B28</f>
        <v>0/3 lecturers complete</v>
      </c>
    </row>
    <row r="19" spans="1:8">
      <c r="A19" s="3" t="s">
        <v>23</v>
      </c>
      <c r="B19" s="1" t="str">
        <f>IF('Group O'!F3="","",'Group O'!F3)</f>
        <v/>
      </c>
      <c r="C19" s="18" t="str">
        <f>IF('Group O'!G17="","",'Group O'!G17)</f>
        <v/>
      </c>
      <c r="D19" s="18" t="str">
        <f>IF('Group O'!H17="","",'Group O'!H17)</f>
        <v/>
      </c>
      <c r="E19" s="18" t="str">
        <f>IF('Group O'!I17="","",'Group O'!I17)</f>
        <v/>
      </c>
      <c r="F19" s="19" t="str">
        <f>IF('Group O'!J17="","",'Group O'!J17)</f>
        <v/>
      </c>
      <c r="G19" s="19" t="str">
        <f>IF('Group O'!J18="","",'Group O'!J18)</f>
        <v/>
      </c>
      <c r="H19" s="20" t="str">
        <f>'Group O'!B28</f>
        <v>0/3 lecturers complete</v>
      </c>
    </row>
    <row r="20" spans="1:8">
      <c r="A20" s="3" t="s">
        <v>24</v>
      </c>
      <c r="B20" s="1" t="str">
        <f>IF('Group P'!F3="","",'Group P'!F3)</f>
        <v/>
      </c>
      <c r="C20" s="18" t="str">
        <f>IF('Group P'!G17="","",'Group P'!G17)</f>
        <v/>
      </c>
      <c r="D20" s="18" t="str">
        <f>IF('Group P'!H17="","",'Group P'!H17)</f>
        <v/>
      </c>
      <c r="E20" s="18" t="str">
        <f>IF('Group P'!I17="","",'Group P'!I17)</f>
        <v/>
      </c>
      <c r="F20" s="19" t="str">
        <f>IF('Group P'!J17="","",'Group P'!J17)</f>
        <v/>
      </c>
      <c r="G20" s="19" t="str">
        <f>IF('Group P'!J18="","",'Group P'!J18)</f>
        <v/>
      </c>
      <c r="H20" s="20" t="str">
        <f>'Group P'!B28</f>
        <v>0/3 lecturers complete</v>
      </c>
    </row>
    <row r="21" spans="1:8">
      <c r="A21" s="3" t="s">
        <v>25</v>
      </c>
      <c r="B21" s="1" t="str">
        <f>IF('Group Q'!F3="","",'Group Q'!F3)</f>
        <v/>
      </c>
      <c r="C21" s="18" t="str">
        <f>IF('Group Q'!G17="","",'Group Q'!G17)</f>
        <v/>
      </c>
      <c r="D21" s="18" t="str">
        <f>IF('Group Q'!H17="","",'Group Q'!H17)</f>
        <v/>
      </c>
      <c r="E21" s="18" t="str">
        <f>IF('Group Q'!I17="","",'Group Q'!I17)</f>
        <v/>
      </c>
      <c r="F21" s="19" t="str">
        <f>IF('Group Q'!J17="","",'Group Q'!J17)</f>
        <v/>
      </c>
      <c r="G21" s="19" t="str">
        <f>IF('Group Q'!J18="","",'Group Q'!J18)</f>
        <v/>
      </c>
      <c r="H21" s="20" t="str">
        <f>'Group Q'!B28</f>
        <v>0/3 lecturers complete</v>
      </c>
    </row>
    <row r="22" spans="1:8">
      <c r="A22" s="3" t="s">
        <v>26</v>
      </c>
      <c r="B22" s="1" t="str">
        <f>IF('Group R'!F3="","",'Group R'!F3)</f>
        <v/>
      </c>
      <c r="C22" s="18" t="str">
        <f>IF('Group R'!G17="","",'Group R'!G17)</f>
        <v/>
      </c>
      <c r="D22" s="18" t="str">
        <f>IF('Group R'!H17="","",'Group R'!H17)</f>
        <v/>
      </c>
      <c r="E22" s="18" t="str">
        <f>IF('Group R'!I17="","",'Group R'!I17)</f>
        <v/>
      </c>
      <c r="F22" s="19" t="str">
        <f>IF('Group R'!J17="","",'Group R'!J17)</f>
        <v/>
      </c>
      <c r="G22" s="19" t="str">
        <f>IF('Group R'!J18="","",'Group R'!J18)</f>
        <v/>
      </c>
      <c r="H22" s="20" t="str">
        <f>'Group R'!B28</f>
        <v>0/3 lecturers complete</v>
      </c>
    </row>
    <row r="23" spans="1:8">
      <c r="A23" s="3" t="s">
        <v>27</v>
      </c>
      <c r="B23" s="1" t="str">
        <f>IF('Group S'!F3="","",'Group S'!F3)</f>
        <v/>
      </c>
      <c r="C23" s="18" t="str">
        <f>IF('Group S'!G17="","",'Group S'!G17)</f>
        <v/>
      </c>
      <c r="D23" s="18" t="str">
        <f>IF('Group S'!H17="","",'Group S'!H17)</f>
        <v/>
      </c>
      <c r="E23" s="18" t="str">
        <f>IF('Group S'!I17="","",'Group S'!I17)</f>
        <v/>
      </c>
      <c r="F23" s="19" t="str">
        <f>IF('Group S'!J17="","",'Group S'!J17)</f>
        <v/>
      </c>
      <c r="G23" s="19" t="str">
        <f>IF('Group S'!J18="","",'Group S'!J18)</f>
        <v/>
      </c>
      <c r="H23" s="20" t="str">
        <f>'Group S'!B28</f>
        <v>0/3 lecturers complete</v>
      </c>
    </row>
    <row r="24" spans="1:8">
      <c r="A24" s="3" t="s">
        <v>28</v>
      </c>
      <c r="B24" s="1" t="str">
        <f>IF('Group T'!F3="","",'Group T'!F3)</f>
        <v/>
      </c>
      <c r="C24" s="18" t="str">
        <f>IF('Group T'!G17="","",'Group T'!G17)</f>
        <v/>
      </c>
      <c r="D24" s="18" t="str">
        <f>IF('Group T'!H17="","",'Group T'!H17)</f>
        <v/>
      </c>
      <c r="E24" s="18" t="str">
        <f>IF('Group T'!I17="","",'Group T'!I17)</f>
        <v/>
      </c>
      <c r="F24" s="19" t="str">
        <f>IF('Group T'!J17="","",'Group T'!J17)</f>
        <v/>
      </c>
      <c r="G24" s="19" t="str">
        <f>IF('Group T'!J18="","",'Group T'!J18)</f>
        <v/>
      </c>
      <c r="H24" s="20" t="str">
        <f>'Group T'!B28</f>
        <v>0/3 lecturers complete</v>
      </c>
    </row>
    <row r="25" spans="1:8">
      <c r="A25" s="3" t="s">
        <v>29</v>
      </c>
      <c r="B25" s="1" t="str">
        <f>IF('Group U'!F3="","",'Group U'!F3)</f>
        <v/>
      </c>
      <c r="C25" s="18" t="str">
        <f>IF('Group U'!G16="","",'Group U'!G16)</f>
        <v/>
      </c>
      <c r="D25" s="18" t="str">
        <f>IF('Group U'!H16="","",'Group U'!H16)</f>
        <v/>
      </c>
      <c r="E25" s="18" t="str">
        <f>IF('Group U'!I16="","",'Group U'!I16)</f>
        <v/>
      </c>
      <c r="F25" s="19" t="str">
        <f>IF('Group U'!J16="","",'Group U'!J16)</f>
        <v/>
      </c>
      <c r="G25" s="19" t="str">
        <f>IF('Group U'!J17="","",'Group U'!J17)</f>
        <v/>
      </c>
      <c r="H25" s="20" t="str">
        <f>'Group U'!B27</f>
        <v>0/3 lecturers complete</v>
      </c>
    </row>
    <row r="26" spans="1:8">
      <c r="A26" s="3" t="s">
        <v>30</v>
      </c>
      <c r="B26" s="1" t="str">
        <f>IF('Group V'!F2="","",'Group V'!F2)</f>
        <v/>
      </c>
      <c r="C26" s="18" t="str">
        <f>IF('Group V'!G15="","",'Group V'!G15)</f>
        <v/>
      </c>
      <c r="D26" s="18" t="str">
        <f>IF('Group V'!H15="","",'Group V'!H15)</f>
        <v/>
      </c>
      <c r="E26" s="18" t="str">
        <f>IF('Group V'!I15="","",'Group V'!I15)</f>
        <v/>
      </c>
      <c r="F26" s="19" t="str">
        <f>IF('Group V'!J15="","",'Group V'!J15)</f>
        <v/>
      </c>
      <c r="G26" s="19" t="str">
        <f>IF('Group V'!J16="","",'Group V'!J16)</f>
        <v/>
      </c>
      <c r="H26" s="20" t="str">
        <f>'Group V'!B26</f>
        <v>0/3 lecturers complete</v>
      </c>
    </row>
    <row r="27" spans="1:8">
      <c r="A27" s="3" t="s">
        <v>31</v>
      </c>
      <c r="B27" s="1" t="str">
        <f>IF('Group W'!F2="","",'Group W'!F2)</f>
        <v/>
      </c>
      <c r="C27" s="18" t="str">
        <f>IF('Group W'!G15="","",'Group W'!G15)</f>
        <v/>
      </c>
      <c r="D27" s="18" t="str">
        <f>IF('Group W'!H15="","",'Group W'!H15)</f>
        <v/>
      </c>
      <c r="E27" s="18" t="str">
        <f>IF('Group W'!I15="","",'Group W'!I15)</f>
        <v/>
      </c>
      <c r="F27" s="19" t="str">
        <f>IF('Group W'!J15="","",'Group W'!J15)</f>
        <v/>
      </c>
      <c r="G27" s="19" t="str">
        <f>IF('Group W'!J16="","",'Group W'!J16)</f>
        <v/>
      </c>
      <c r="H27" s="20" t="str">
        <f>'Group W'!B26</f>
        <v>0/3 lecturers complete</v>
      </c>
    </row>
    <row r="28" spans="1:8">
      <c r="A28" s="3" t="s">
        <v>32</v>
      </c>
      <c r="B28" s="1" t="str">
        <f>IF('Group X'!F2="","",'Group X'!F2)</f>
        <v/>
      </c>
      <c r="C28" s="18" t="str">
        <f>IF('Group X'!G15="","",'Group X'!G15)</f>
        <v/>
      </c>
      <c r="D28" s="18" t="str">
        <f>IF('Group X'!H15="","",'Group X'!H15)</f>
        <v/>
      </c>
      <c r="E28" s="18" t="str">
        <f>IF('Group X'!I15="","",'Group X'!I15)</f>
        <v/>
      </c>
      <c r="F28" s="19" t="str">
        <f>IF('Group X'!J15="","",'Group X'!J15)</f>
        <v/>
      </c>
      <c r="G28" s="19" t="str">
        <f>IF('Group X'!J16="","",'Group X'!J16)</f>
        <v/>
      </c>
      <c r="H28" s="20" t="str">
        <f>'Group X'!B26</f>
        <v>0/3 lecturers complete</v>
      </c>
    </row>
    <row r="29" spans="1:8">
      <c r="A29" s="3" t="s">
        <v>33</v>
      </c>
      <c r="B29" s="1" t="str">
        <f>IF('Group Y'!F2="","",'Group Y'!F2)</f>
        <v/>
      </c>
      <c r="C29" s="18" t="str">
        <f>IF('Group Y'!G15="","",'Group Y'!G15)</f>
        <v/>
      </c>
      <c r="D29" s="18" t="str">
        <f>IF('Group Y'!H15="","",'Group Y'!H15)</f>
        <v/>
      </c>
      <c r="E29" s="18" t="str">
        <f>IF('Group Y'!I15="","",'Group Y'!I15)</f>
        <v/>
      </c>
      <c r="F29" s="19" t="str">
        <f>IF('Group Y'!J15="","",'Group Y'!J15)</f>
        <v/>
      </c>
      <c r="G29" s="19" t="str">
        <f>IF('Group Y'!J16="","",'Group Y'!J16)</f>
        <v/>
      </c>
      <c r="H29" s="20" t="str">
        <f>'Group Y'!B26</f>
        <v>0/3 lecturers complete</v>
      </c>
    </row>
    <row r="30" spans="1:8">
      <c r="A30" s="3" t="s">
        <v>34</v>
      </c>
      <c r="B30" s="1" t="str">
        <f>IF('Group Z'!F2="","",'Group Z'!F2)</f>
        <v/>
      </c>
      <c r="C30" s="18" t="str">
        <f>IF('Group Z'!G15="","",'Group Z'!G15)</f>
        <v/>
      </c>
      <c r="D30" s="18" t="str">
        <f>IF('Group Z'!H15="","",'Group Z'!H15)</f>
        <v/>
      </c>
      <c r="E30" s="18" t="str">
        <f>IF('Group Z'!I15="","",'Group Z'!I15)</f>
        <v/>
      </c>
      <c r="F30" s="19" t="str">
        <f>IF('Group Z'!J15="","",'Group Z'!J15)</f>
        <v/>
      </c>
      <c r="G30" s="19" t="str">
        <f>IF('Group Z'!J16="","",'Group Z'!J16)</f>
        <v/>
      </c>
      <c r="H30" s="20" t="str">
        <f>'Group Z'!B26</f>
        <v>0/3 lecturers complete</v>
      </c>
    </row>
    <row r="32" spans="1:8">
      <c r="A32" s="24" t="s">
        <v>35</v>
      </c>
      <c r="B32" s="24"/>
      <c r="C32" s="21" t="s">
        <v>36</v>
      </c>
      <c r="D32" s="21">
        <f>COUNTIF(H5:H30,"Complete")</f>
        <v>0</v>
      </c>
      <c r="E32" s="21" t="s">
        <v>37</v>
      </c>
      <c r="F32" s="21">
        <f>COUNTA(A5:A30)-D32</f>
        <v>26</v>
      </c>
      <c r="G32" s="21" t="s">
        <v>38</v>
      </c>
      <c r="H32" s="21" t="s">
        <v>39</v>
      </c>
    </row>
    <row r="34" spans="1:8">
      <c r="A34" s="24" t="s">
        <v>40</v>
      </c>
      <c r="B34" s="24"/>
      <c r="C34" s="24"/>
      <c r="D34" s="24"/>
      <c r="E34" s="24"/>
      <c r="F34" s="24"/>
      <c r="G34" s="24"/>
      <c r="H34" s="24"/>
    </row>
    <row r="35" spans="1:8">
      <c r="A35" s="25" t="s">
        <v>41</v>
      </c>
      <c r="B35" s="25"/>
      <c r="C35" s="25"/>
      <c r="D35" s="25"/>
      <c r="E35" s="25"/>
      <c r="F35" s="25"/>
      <c r="G35" s="25"/>
      <c r="H35" s="25"/>
    </row>
    <row r="36" spans="1:8">
      <c r="A36" s="25"/>
      <c r="B36" s="25"/>
      <c r="C36" s="25"/>
      <c r="D36" s="25"/>
      <c r="E36" s="25"/>
      <c r="F36" s="25"/>
      <c r="G36" s="25"/>
      <c r="H36" s="25"/>
    </row>
    <row r="37" spans="1:8">
      <c r="A37" s="25"/>
      <c r="B37" s="25"/>
      <c r="C37" s="25"/>
      <c r="D37" s="25"/>
      <c r="E37" s="25"/>
      <c r="F37" s="25"/>
      <c r="G37" s="25"/>
      <c r="H37" s="25"/>
    </row>
    <row r="38" spans="1:8">
      <c r="A38" s="25"/>
      <c r="B38" s="25"/>
      <c r="C38" s="25"/>
      <c r="D38" s="25"/>
      <c r="E38" s="25"/>
      <c r="F38" s="25"/>
      <c r="G38" s="25"/>
      <c r="H38" s="25"/>
    </row>
    <row r="39" spans="1:8">
      <c r="A39" s="25"/>
      <c r="B39" s="25"/>
      <c r="C39" s="25"/>
      <c r="D39" s="25"/>
      <c r="E39" s="25"/>
      <c r="F39" s="25"/>
      <c r="G39" s="25"/>
      <c r="H39" s="25"/>
    </row>
  </sheetData>
  <mergeCells count="5">
    <mergeCell ref="A1:H1"/>
    <mergeCell ref="A2:H2"/>
    <mergeCell ref="A32:B32"/>
    <mergeCell ref="A34:H34"/>
    <mergeCell ref="A35:H39"/>
  </mergeCells>
  <conditionalFormatting sqref="H5:H30">
    <cfRule type="expression" dxfId="79" priority="1">
      <formula>H5="Complete"</formula>
    </cfRule>
    <cfRule type="expression" dxfId="78" priority="2">
      <formula>H5&lt;&gt;"Complete"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42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9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77" priority="1">
      <formula>AND(ISNUMBER(G8),OR(G8&lt;0,G8&gt;$B8))</formula>
    </cfRule>
  </conditionalFormatting>
  <conditionalFormatting sqref="H8:H14">
    <cfRule type="expression" dxfId="76" priority="2">
      <formula>AND(ISNUMBER(H8),OR(H8&lt;0,H8&gt;$B8))</formula>
    </cfRule>
  </conditionalFormatting>
  <conditionalFormatting sqref="I8:I14">
    <cfRule type="expression" dxfId="75" priority="3">
      <formula>AND(ISNUMBER(I8),OR(I8&lt;0,I8&gt;$B8))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105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10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74" priority="1">
      <formula>AND(ISNUMBER(G8),OR(G8&lt;0,G8&gt;$B8))</formula>
    </cfRule>
  </conditionalFormatting>
  <conditionalFormatting sqref="H8:H14">
    <cfRule type="expression" dxfId="73" priority="2">
      <formula>AND(ISNUMBER(H8),OR(H8&lt;0,H8&gt;$B8))</formula>
    </cfRule>
  </conditionalFormatting>
  <conditionalFormatting sqref="I8:I14">
    <cfRule type="expression" dxfId="72" priority="3">
      <formula>AND(ISNUMBER(I8),OR(I8&lt;0,I8&gt;$B8))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106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11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71" priority="1">
      <formula>AND(ISNUMBER(G8),OR(G8&lt;0,G8&gt;$B8))</formula>
    </cfRule>
  </conditionalFormatting>
  <conditionalFormatting sqref="H8:H14">
    <cfRule type="expression" dxfId="70" priority="2">
      <formula>AND(ISNUMBER(H8),OR(H8&lt;0,H8&gt;$B8))</formula>
    </cfRule>
  </conditionalFormatting>
  <conditionalFormatting sqref="I8:I14">
    <cfRule type="expression" dxfId="69" priority="3">
      <formula>AND(ISNUMBER(I8),OR(I8&lt;0,I8&gt;$B8))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12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68" priority="1">
      <formula>AND(ISNUMBER(G8),OR(G8&lt;0,G8&gt;$B8))</formula>
    </cfRule>
  </conditionalFormatting>
  <conditionalFormatting sqref="H8:H14">
    <cfRule type="expression" dxfId="67" priority="2">
      <formula>AND(ISNUMBER(H8),OR(H8&lt;0,H8&gt;$B8))</formula>
    </cfRule>
  </conditionalFormatting>
  <conditionalFormatting sqref="I8:I14">
    <cfRule type="expression" dxfId="66" priority="3">
      <formula>AND(ISNUMBER(I8),OR(I8&lt;0,I8&gt;$B8))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13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65" priority="1">
      <formula>AND(ISNUMBER(G8),OR(G8&lt;0,G8&gt;$B8))</formula>
    </cfRule>
  </conditionalFormatting>
  <conditionalFormatting sqref="H8:H14">
    <cfRule type="expression" dxfId="64" priority="2">
      <formula>AND(ISNUMBER(H8),OR(H8&lt;0,H8&gt;$B8))</formula>
    </cfRule>
  </conditionalFormatting>
  <conditionalFormatting sqref="I8:I14">
    <cfRule type="expression" dxfId="63" priority="3">
      <formula>AND(ISNUMBER(I8),OR(I8&lt;0,I8&gt;$B8))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108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14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62" priority="1">
      <formula>AND(ISNUMBER(G8),OR(G8&lt;0,G8&gt;$B8))</formula>
    </cfRule>
  </conditionalFormatting>
  <conditionalFormatting sqref="H8:H14">
    <cfRule type="expression" dxfId="61" priority="2">
      <formula>AND(ISNUMBER(H8),OR(H8&lt;0,H8&gt;$B8))</formula>
    </cfRule>
  </conditionalFormatting>
  <conditionalFormatting sqref="I8:I14">
    <cfRule type="expression" dxfId="60" priority="3">
      <formula>AND(ISNUMBER(I8),OR(I8&lt;0,I8&gt;$B8))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109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15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59" priority="1">
      <formula>AND(ISNUMBER(G8),OR(G8&lt;0,G8&gt;$B8))</formula>
    </cfRule>
  </conditionalFormatting>
  <conditionalFormatting sqref="H8:H14">
    <cfRule type="expression" dxfId="58" priority="2">
      <formula>AND(ISNUMBER(H8),OR(H8&lt;0,H8&gt;$B8))</formula>
    </cfRule>
  </conditionalFormatting>
  <conditionalFormatting sqref="I8:I14">
    <cfRule type="expression" dxfId="57" priority="3">
      <formula>AND(ISNUMBER(I8),OR(I8&lt;0,I8&gt;$B8))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110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16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56" priority="1">
      <formula>AND(ISNUMBER(G8),OR(G8&lt;0,G8&gt;$B8))</formula>
    </cfRule>
  </conditionalFormatting>
  <conditionalFormatting sqref="H8:H14">
    <cfRule type="expression" dxfId="55" priority="2">
      <formula>AND(ISNUMBER(H8),OR(H8&lt;0,H8&gt;$B8))</formula>
    </cfRule>
  </conditionalFormatting>
  <conditionalFormatting sqref="I8:I14">
    <cfRule type="expression" dxfId="54" priority="3">
      <formula>AND(ISNUMBER(I8),OR(I8&lt;0,I8&gt;$B8))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111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17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53" priority="1">
      <formula>AND(ISNUMBER(G8),OR(G8&lt;0,G8&gt;$B8))</formula>
    </cfRule>
  </conditionalFormatting>
  <conditionalFormatting sqref="H8:H14">
    <cfRule type="expression" dxfId="52" priority="2">
      <formula>AND(ISNUMBER(H8),OR(H8&lt;0,H8&gt;$B8))</formula>
    </cfRule>
  </conditionalFormatting>
  <conditionalFormatting sqref="I8:I14">
    <cfRule type="expression" dxfId="51" priority="3">
      <formula>AND(ISNUMBER(I8),OR(I8&lt;0,I8&gt;$B8))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112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18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50" priority="1">
      <formula>AND(ISNUMBER(G8),OR(G8&lt;0,G8&gt;$B8))</formula>
    </cfRule>
  </conditionalFormatting>
  <conditionalFormatting sqref="H8:H14">
    <cfRule type="expression" dxfId="49" priority="2">
      <formula>AND(ISNUMBER(H8),OR(H8&lt;0,H8&gt;$B8))</formula>
    </cfRule>
  </conditionalFormatting>
  <conditionalFormatting sqref="I8:I14">
    <cfRule type="expression" dxfId="48" priority="3">
      <formula>AND(ISNUMBER(I8),OR(I8&lt;0,I8&gt;$B8))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113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19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47" priority="1">
      <formula>AND(ISNUMBER(G8),OR(G8&lt;0,G8&gt;$B8))</formula>
    </cfRule>
  </conditionalFormatting>
  <conditionalFormatting sqref="H8:H14">
    <cfRule type="expression" dxfId="46" priority="2">
      <formula>AND(ISNUMBER(H8),OR(H8&lt;0,H8&gt;$B8))</formula>
    </cfRule>
  </conditionalFormatting>
  <conditionalFormatting sqref="I8:I14">
    <cfRule type="expression" dxfId="45" priority="3">
      <formula>AND(ISNUMBER(I8),OR(I8&lt;0,I8&gt;$B8))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114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20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44" priority="1">
      <formula>AND(ISNUMBER(G8),OR(G8&lt;0,G8&gt;$B8))</formula>
    </cfRule>
  </conditionalFormatting>
  <conditionalFormatting sqref="H8:H14">
    <cfRule type="expression" dxfId="43" priority="2">
      <formula>AND(ISNUMBER(H8),OR(H8&lt;0,H8&gt;$B8))</formula>
    </cfRule>
  </conditionalFormatting>
  <conditionalFormatting sqref="I8:I14">
    <cfRule type="expression" dxfId="42" priority="3">
      <formula>AND(ISNUMBER(I8),OR(I8&lt;0,I8&gt;$B8))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115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21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41" priority="1">
      <formula>AND(ISNUMBER(G8),OR(G8&lt;0,G8&gt;$B8))</formula>
    </cfRule>
  </conditionalFormatting>
  <conditionalFormatting sqref="H8:H14">
    <cfRule type="expression" dxfId="40" priority="2">
      <formula>AND(ISNUMBER(H8),OR(H8&lt;0,H8&gt;$B8))</formula>
    </cfRule>
  </conditionalFormatting>
  <conditionalFormatting sqref="I8:I14">
    <cfRule type="expression" dxfId="39" priority="3">
      <formula>AND(ISNUMBER(I8),OR(I8&lt;0,I8&gt;$B8))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116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22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38" priority="1">
      <formula>AND(ISNUMBER(G8),OR(G8&lt;0,G8&gt;$B8))</formula>
    </cfRule>
  </conditionalFormatting>
  <conditionalFormatting sqref="H8:H14">
    <cfRule type="expression" dxfId="37" priority="2">
      <formula>AND(ISNUMBER(H8),OR(H8&lt;0,H8&gt;$B8))</formula>
    </cfRule>
  </conditionalFormatting>
  <conditionalFormatting sqref="I8:I14">
    <cfRule type="expression" dxfId="36" priority="3">
      <formula>AND(ISNUMBER(I8),OR(I8&lt;0,I8&gt;$B8))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117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23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35" priority="1">
      <formula>AND(ISNUMBER(G8),OR(G8&lt;0,G8&gt;$B8))</formula>
    </cfRule>
  </conditionalFormatting>
  <conditionalFormatting sqref="H8:H14">
    <cfRule type="expression" dxfId="34" priority="2">
      <formula>AND(ISNUMBER(H8),OR(H8&lt;0,H8&gt;$B8))</formula>
    </cfRule>
  </conditionalFormatting>
  <conditionalFormatting sqref="I8:I14">
    <cfRule type="expression" dxfId="33" priority="3">
      <formula>AND(ISNUMBER(I8),OR(I8&lt;0,I8&gt;$B8))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118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24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32" priority="1">
      <formula>AND(ISNUMBER(G8),OR(G8&lt;0,G8&gt;$B8))</formula>
    </cfRule>
  </conditionalFormatting>
  <conditionalFormatting sqref="H8:H14">
    <cfRule type="expression" dxfId="31" priority="2">
      <formula>AND(ISNUMBER(H8),OR(H8&lt;0,H8&gt;$B8))</formula>
    </cfRule>
  </conditionalFormatting>
  <conditionalFormatting sqref="I8:I14">
    <cfRule type="expression" dxfId="30" priority="3">
      <formula>AND(ISNUMBER(I8),OR(I8&lt;0,I8&gt;$B8))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119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25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29" priority="1">
      <formula>AND(ISNUMBER(G8),OR(G8&lt;0,G8&gt;$B8))</formula>
    </cfRule>
  </conditionalFormatting>
  <conditionalFormatting sqref="H8:H14">
    <cfRule type="expression" dxfId="28" priority="2">
      <formula>AND(ISNUMBER(H8),OR(H8&lt;0,H8&gt;$B8))</formula>
    </cfRule>
  </conditionalFormatting>
  <conditionalFormatting sqref="I8:I14">
    <cfRule type="expression" dxfId="27" priority="3">
      <formula>AND(ISNUMBER(I8),OR(I8&lt;0,I8&gt;$B8))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120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26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26" priority="1">
      <formula>AND(ISNUMBER(G8),OR(G8&lt;0,G8&gt;$B8))</formula>
    </cfRule>
  </conditionalFormatting>
  <conditionalFormatting sqref="H8:H14">
    <cfRule type="expression" dxfId="25" priority="2">
      <formula>AND(ISNUMBER(H8),OR(H8&lt;0,H8&gt;$B8))</formula>
    </cfRule>
  </conditionalFormatting>
  <conditionalFormatting sqref="I8:I14">
    <cfRule type="expression" dxfId="24" priority="3">
      <formula>AND(ISNUMBER(I8),OR(I8&lt;0,I8&gt;$B8))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121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27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23" priority="1">
      <formula>AND(ISNUMBER(G8),OR(G8&lt;0,G8&gt;$B8))</formula>
    </cfRule>
  </conditionalFormatting>
  <conditionalFormatting sqref="H8:H14">
    <cfRule type="expression" dxfId="22" priority="2">
      <formula>AND(ISNUMBER(H8),OR(H8&lt;0,H8&gt;$B8))</formula>
    </cfRule>
  </conditionalFormatting>
  <conditionalFormatting sqref="I8:I14">
    <cfRule type="expression" dxfId="21" priority="3">
      <formula>AND(ISNUMBER(I8),OR(I8&lt;0,I8&gt;$B8))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8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122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28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5" spans="1:11">
      <c r="A5" s="3"/>
      <c r="B5" s="2"/>
      <c r="C5" s="2"/>
      <c r="D5" s="2"/>
      <c r="E5" s="2"/>
      <c r="F5" s="2"/>
      <c r="G5" s="4"/>
      <c r="H5" s="4"/>
      <c r="I5" s="4"/>
      <c r="J5" s="2"/>
      <c r="K5" s="2"/>
    </row>
    <row r="7" spans="1:11" ht="24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46</v>
      </c>
      <c r="H7" s="5" t="s">
        <v>47</v>
      </c>
      <c r="I7" s="5" t="s">
        <v>48</v>
      </c>
      <c r="J7" s="5" t="s">
        <v>55</v>
      </c>
      <c r="K7" s="5" t="s">
        <v>56</v>
      </c>
    </row>
    <row r="8" spans="1:11" ht="74.650000000000006" customHeight="1">
      <c r="A8" s="7" t="s">
        <v>57</v>
      </c>
      <c r="B8" s="10">
        <v>15</v>
      </c>
      <c r="C8" s="6" t="s">
        <v>58</v>
      </c>
      <c r="D8" s="6" t="s">
        <v>59</v>
      </c>
      <c r="E8" s="6" t="s">
        <v>60</v>
      </c>
      <c r="F8" s="6" t="s">
        <v>61</v>
      </c>
      <c r="G8" s="11"/>
      <c r="H8" s="11"/>
      <c r="I8" s="11"/>
      <c r="J8" s="12" t="str">
        <f t="shared" ref="J8:J17" si="0">IF(COUNT(G8:I8)=3,AVERAGE(G8:I8),"")</f>
        <v/>
      </c>
      <c r="K8" s="13"/>
    </row>
    <row r="9" spans="1:11" ht="74.650000000000006" customHeight="1">
      <c r="A9" s="7" t="s">
        <v>62</v>
      </c>
      <c r="B9" s="10">
        <v>15</v>
      </c>
      <c r="C9" s="6" t="s">
        <v>63</v>
      </c>
      <c r="D9" s="6" t="s">
        <v>64</v>
      </c>
      <c r="E9" s="6" t="s">
        <v>65</v>
      </c>
      <c r="F9" s="6" t="s">
        <v>66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67</v>
      </c>
      <c r="B10" s="10">
        <v>15</v>
      </c>
      <c r="C10" s="6" t="s">
        <v>68</v>
      </c>
      <c r="D10" s="6" t="s">
        <v>69</v>
      </c>
      <c r="E10" s="6" t="s">
        <v>70</v>
      </c>
      <c r="F10" s="6" t="s">
        <v>71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72</v>
      </c>
      <c r="B11" s="10">
        <v>15</v>
      </c>
      <c r="C11" s="6" t="s">
        <v>73</v>
      </c>
      <c r="D11" s="6" t="s">
        <v>74</v>
      </c>
      <c r="E11" s="6" t="s">
        <v>75</v>
      </c>
      <c r="F11" s="6" t="s">
        <v>76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77</v>
      </c>
      <c r="B12" s="10">
        <v>5</v>
      </c>
      <c r="C12" s="6" t="s">
        <v>78</v>
      </c>
      <c r="D12" s="6" t="s">
        <v>79</v>
      </c>
      <c r="E12" s="6" t="s">
        <v>80</v>
      </c>
      <c r="F12" s="6" t="s">
        <v>81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7" t="s">
        <v>82</v>
      </c>
      <c r="B13" s="10">
        <v>5</v>
      </c>
      <c r="C13" s="6" t="s">
        <v>83</v>
      </c>
      <c r="D13" s="6" t="s">
        <v>84</v>
      </c>
      <c r="E13" s="6" t="s">
        <v>85</v>
      </c>
      <c r="F13" s="6" t="s">
        <v>86</v>
      </c>
      <c r="G13" s="11"/>
      <c r="H13" s="11"/>
      <c r="I13" s="11"/>
      <c r="J13" s="12" t="str">
        <f t="shared" si="0"/>
        <v/>
      </c>
      <c r="K13" s="13"/>
    </row>
    <row r="14" spans="1:11" ht="74.650000000000006" customHeight="1">
      <c r="A14" s="9" t="s">
        <v>87</v>
      </c>
      <c r="B14" s="10">
        <v>30</v>
      </c>
      <c r="C14" s="8" t="s">
        <v>88</v>
      </c>
      <c r="D14" s="8" t="s">
        <v>89</v>
      </c>
      <c r="E14" s="8" t="s">
        <v>90</v>
      </c>
      <c r="F14" s="8" t="s">
        <v>91</v>
      </c>
      <c r="G14" s="11"/>
      <c r="H14" s="11"/>
      <c r="I14" s="11"/>
      <c r="J14" s="12" t="str">
        <f t="shared" si="0"/>
        <v/>
      </c>
      <c r="K14" s="13"/>
    </row>
    <row r="15" spans="1:11" ht="17.399999999999999" customHeight="1">
      <c r="A15" s="29" t="s">
        <v>92</v>
      </c>
      <c r="B15" s="29"/>
      <c r="C15" s="29"/>
      <c r="D15" s="29"/>
      <c r="E15" s="29"/>
      <c r="F15" s="29"/>
      <c r="G15" s="15" t="str">
        <f>IF(COUNT(G8:G13)=6,SUM(G8:G13),"")</f>
        <v/>
      </c>
      <c r="H15" s="15" t="str">
        <f>IF(COUNT(H8:H13)=6,SUM(H8:H13),"")</f>
        <v/>
      </c>
      <c r="I15" s="15" t="str">
        <f>IF(COUNT(I8:I13)=6,SUM(I8:I13),"")</f>
        <v/>
      </c>
      <c r="J15" s="15" t="str">
        <f t="shared" si="0"/>
        <v/>
      </c>
      <c r="K15" s="14" t="s">
        <v>93</v>
      </c>
    </row>
    <row r="16" spans="1:11" ht="17.399999999999999" customHeight="1">
      <c r="A16" s="29" t="s">
        <v>94</v>
      </c>
      <c r="B16" s="29"/>
      <c r="C16" s="29"/>
      <c r="D16" s="29"/>
      <c r="E16" s="29"/>
      <c r="F16" s="29"/>
      <c r="G16" s="15" t="str">
        <f>IF(G14="","",G14)</f>
        <v/>
      </c>
      <c r="H16" s="15" t="str">
        <f>IF(H14="","",H14)</f>
        <v/>
      </c>
      <c r="I16" s="15" t="str">
        <f>IF(I14="","",I14)</f>
        <v/>
      </c>
      <c r="J16" s="15" t="str">
        <f t="shared" si="0"/>
        <v/>
      </c>
      <c r="K16" s="14" t="s">
        <v>95</v>
      </c>
    </row>
    <row r="17" spans="1:11" ht="17.399999999999999" customHeight="1">
      <c r="A17" s="29" t="s">
        <v>96</v>
      </c>
      <c r="B17" s="29"/>
      <c r="C17" s="29"/>
      <c r="D17" s="29"/>
      <c r="E17" s="29"/>
      <c r="F17" s="29"/>
      <c r="G17" s="15" t="str">
        <f>IF(COUNT(G8:G14)=7,SUM(G8:G14),"")</f>
        <v/>
      </c>
      <c r="H17" s="15" t="str">
        <f>IF(COUNT(H8:H14)=7,SUM(H8:H14),"")</f>
        <v/>
      </c>
      <c r="I17" s="15" t="str">
        <f>IF(COUNT(I8:I14)=7,SUM(I8:I14),"")</f>
        <v/>
      </c>
      <c r="J17" s="15" t="str">
        <f t="shared" si="0"/>
        <v/>
      </c>
      <c r="K17" s="14" t="s">
        <v>97</v>
      </c>
    </row>
    <row r="18" spans="1:11" ht="17.399999999999999" customHeight="1">
      <c r="A18" s="29" t="s">
        <v>98</v>
      </c>
      <c r="B18" s="29"/>
      <c r="C18" s="29"/>
      <c r="D18" s="29"/>
      <c r="E18" s="29"/>
      <c r="F18" s="29"/>
      <c r="G18" s="30"/>
      <c r="H18" s="30"/>
      <c r="I18" s="30"/>
      <c r="J18" s="15" t="str">
        <f>IF(J17="","",J17*50/100)</f>
        <v/>
      </c>
      <c r="K18" s="14" t="s">
        <v>99</v>
      </c>
    </row>
    <row r="21" spans="1:11" ht="16" customHeight="1">
      <c r="A21" s="31" t="s">
        <v>100</v>
      </c>
      <c r="B21" s="31"/>
      <c r="C21" s="31"/>
      <c r="D21" s="31" t="s">
        <v>101</v>
      </c>
      <c r="E21" s="31"/>
      <c r="F21" s="31"/>
      <c r="G21" s="31" t="s">
        <v>102</v>
      </c>
      <c r="H21" s="31"/>
      <c r="I21" s="31"/>
      <c r="J21" s="31" t="s">
        <v>103</v>
      </c>
      <c r="K21" s="31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8" spans="1:11">
      <c r="A28" s="17" t="s">
        <v>8</v>
      </c>
      <c r="B28" s="33" t="str">
        <f>IF(COUNT(G17:I17)=3,"Complete",COUNT(G17:I17)&amp;"/3 lecturers complete")</f>
        <v>0/3 lecturers complete</v>
      </c>
      <c r="C28" s="33"/>
      <c r="D28" s="33"/>
      <c r="E28" s="33"/>
      <c r="F28" s="33"/>
      <c r="J28" t="s">
        <v>104</v>
      </c>
      <c r="K28" s="16"/>
    </row>
  </sheetData>
  <mergeCells count="19">
    <mergeCell ref="B28:F28"/>
    <mergeCell ref="J21:K21"/>
    <mergeCell ref="A22:C26"/>
    <mergeCell ref="D22:F26"/>
    <mergeCell ref="G22:I26"/>
    <mergeCell ref="J22:K26"/>
    <mergeCell ref="A15:F15"/>
    <mergeCell ref="A16:F16"/>
    <mergeCell ref="A17:F17"/>
    <mergeCell ref="A18:I18"/>
    <mergeCell ref="A21:C21"/>
    <mergeCell ref="D21:F21"/>
    <mergeCell ref="G21:I21"/>
    <mergeCell ref="A1:K1"/>
    <mergeCell ref="A2:K2"/>
    <mergeCell ref="B3:D3"/>
    <mergeCell ref="F3:K3"/>
    <mergeCell ref="B4:D4"/>
    <mergeCell ref="F4:K4"/>
  </mergeCells>
  <conditionalFormatting sqref="G8:G14">
    <cfRule type="expression" dxfId="20" priority="1">
      <formula>AND(ISNUMBER(G8),OR(G8&lt;0,G8&gt;$B8))</formula>
    </cfRule>
  </conditionalFormatting>
  <conditionalFormatting sqref="H8:H14">
    <cfRule type="expression" dxfId="19" priority="2">
      <formula>AND(ISNUMBER(H8),OR(H8&lt;0,H8&gt;$B8))</formula>
    </cfRule>
  </conditionalFormatting>
  <conditionalFormatting sqref="I8:I14">
    <cfRule type="expression" dxfId="18" priority="3">
      <formula>AND(ISNUMBER(I8),OR(I8&lt;0,I8&gt;$B8))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7"/>
  <sheetViews>
    <sheetView workbookViewId="0">
      <selection activeCell="A5" sqref="A5:XFD5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123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3" t="s">
        <v>1</v>
      </c>
      <c r="B3" s="27" t="s">
        <v>29</v>
      </c>
      <c r="C3" s="27"/>
      <c r="D3" s="27"/>
      <c r="E3" s="3" t="s">
        <v>2</v>
      </c>
      <c r="F3" s="28"/>
      <c r="G3" s="28"/>
      <c r="H3" s="28"/>
      <c r="I3" s="28"/>
      <c r="J3" s="28"/>
      <c r="K3" s="28"/>
    </row>
    <row r="4" spans="1:11">
      <c r="A4" s="3" t="s">
        <v>43</v>
      </c>
      <c r="B4" s="27" t="s">
        <v>44</v>
      </c>
      <c r="C4" s="27"/>
      <c r="D4" s="27"/>
      <c r="E4" s="3" t="s">
        <v>45</v>
      </c>
      <c r="F4" s="28"/>
      <c r="G4" s="28"/>
      <c r="H4" s="28"/>
      <c r="I4" s="28"/>
      <c r="J4" s="28"/>
      <c r="K4" s="28"/>
    </row>
    <row r="6" spans="1:11" ht="24" customHeight="1">
      <c r="A6" s="5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46</v>
      </c>
      <c r="H6" s="5" t="s">
        <v>47</v>
      </c>
      <c r="I6" s="5" t="s">
        <v>48</v>
      </c>
      <c r="J6" s="5" t="s">
        <v>55</v>
      </c>
      <c r="K6" s="5" t="s">
        <v>56</v>
      </c>
    </row>
    <row r="7" spans="1:11" ht="74.650000000000006" customHeight="1">
      <c r="A7" s="7" t="s">
        <v>57</v>
      </c>
      <c r="B7" s="10">
        <v>15</v>
      </c>
      <c r="C7" s="6" t="s">
        <v>58</v>
      </c>
      <c r="D7" s="6" t="s">
        <v>59</v>
      </c>
      <c r="E7" s="6" t="s">
        <v>60</v>
      </c>
      <c r="F7" s="6" t="s">
        <v>61</v>
      </c>
      <c r="G7" s="11"/>
      <c r="H7" s="11"/>
      <c r="I7" s="11"/>
      <c r="J7" s="12" t="str">
        <f t="shared" ref="J7:J16" si="0">IF(COUNT(G7:I7)=3,AVERAGE(G7:I7),"")</f>
        <v/>
      </c>
      <c r="K7" s="13"/>
    </row>
    <row r="8" spans="1:11" ht="74.650000000000006" customHeight="1">
      <c r="A8" s="7" t="s">
        <v>62</v>
      </c>
      <c r="B8" s="10">
        <v>15</v>
      </c>
      <c r="C8" s="6" t="s">
        <v>63</v>
      </c>
      <c r="D8" s="6" t="s">
        <v>64</v>
      </c>
      <c r="E8" s="6" t="s">
        <v>65</v>
      </c>
      <c r="F8" s="6" t="s">
        <v>66</v>
      </c>
      <c r="G8" s="11"/>
      <c r="H8" s="11"/>
      <c r="I8" s="11"/>
      <c r="J8" s="12" t="str">
        <f t="shared" si="0"/>
        <v/>
      </c>
      <c r="K8" s="13"/>
    </row>
    <row r="9" spans="1:11" ht="74.650000000000006" customHeight="1">
      <c r="A9" s="7" t="s">
        <v>67</v>
      </c>
      <c r="B9" s="10">
        <v>15</v>
      </c>
      <c r="C9" s="6" t="s">
        <v>68</v>
      </c>
      <c r="D9" s="6" t="s">
        <v>69</v>
      </c>
      <c r="E9" s="6" t="s">
        <v>70</v>
      </c>
      <c r="F9" s="6" t="s">
        <v>71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72</v>
      </c>
      <c r="B10" s="10">
        <v>15</v>
      </c>
      <c r="C10" s="6" t="s">
        <v>73</v>
      </c>
      <c r="D10" s="6" t="s">
        <v>74</v>
      </c>
      <c r="E10" s="6" t="s">
        <v>75</v>
      </c>
      <c r="F10" s="6" t="s">
        <v>76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77</v>
      </c>
      <c r="B11" s="10">
        <v>5</v>
      </c>
      <c r="C11" s="6" t="s">
        <v>78</v>
      </c>
      <c r="D11" s="6" t="s">
        <v>79</v>
      </c>
      <c r="E11" s="6" t="s">
        <v>80</v>
      </c>
      <c r="F11" s="6" t="s">
        <v>81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7" t="s">
        <v>82</v>
      </c>
      <c r="B12" s="10">
        <v>5</v>
      </c>
      <c r="C12" s="6" t="s">
        <v>83</v>
      </c>
      <c r="D12" s="6" t="s">
        <v>84</v>
      </c>
      <c r="E12" s="6" t="s">
        <v>85</v>
      </c>
      <c r="F12" s="6" t="s">
        <v>86</v>
      </c>
      <c r="G12" s="11"/>
      <c r="H12" s="11"/>
      <c r="I12" s="11"/>
      <c r="J12" s="12" t="str">
        <f t="shared" si="0"/>
        <v/>
      </c>
      <c r="K12" s="13"/>
    </row>
    <row r="13" spans="1:11" ht="74.650000000000006" customHeight="1">
      <c r="A13" s="9" t="s">
        <v>87</v>
      </c>
      <c r="B13" s="10">
        <v>30</v>
      </c>
      <c r="C13" s="8" t="s">
        <v>88</v>
      </c>
      <c r="D13" s="8" t="s">
        <v>89</v>
      </c>
      <c r="E13" s="8" t="s">
        <v>90</v>
      </c>
      <c r="F13" s="8" t="s">
        <v>91</v>
      </c>
      <c r="G13" s="11"/>
      <c r="H13" s="11"/>
      <c r="I13" s="11"/>
      <c r="J13" s="12" t="str">
        <f t="shared" si="0"/>
        <v/>
      </c>
      <c r="K13" s="13"/>
    </row>
    <row r="14" spans="1:11" ht="17.399999999999999" customHeight="1">
      <c r="A14" s="29" t="s">
        <v>92</v>
      </c>
      <c r="B14" s="29"/>
      <c r="C14" s="29"/>
      <c r="D14" s="29"/>
      <c r="E14" s="29"/>
      <c r="F14" s="29"/>
      <c r="G14" s="15" t="str">
        <f>IF(COUNT(G7:G12)=6,SUM(G7:G12),"")</f>
        <v/>
      </c>
      <c r="H14" s="15" t="str">
        <f>IF(COUNT(H7:H12)=6,SUM(H7:H12),"")</f>
        <v/>
      </c>
      <c r="I14" s="15" t="str">
        <f>IF(COUNT(I7:I12)=6,SUM(I7:I12),"")</f>
        <v/>
      </c>
      <c r="J14" s="15" t="str">
        <f t="shared" si="0"/>
        <v/>
      </c>
      <c r="K14" s="14" t="s">
        <v>93</v>
      </c>
    </row>
    <row r="15" spans="1:11" ht="17.399999999999999" customHeight="1">
      <c r="A15" s="29" t="s">
        <v>94</v>
      </c>
      <c r="B15" s="29"/>
      <c r="C15" s="29"/>
      <c r="D15" s="29"/>
      <c r="E15" s="29"/>
      <c r="F15" s="29"/>
      <c r="G15" s="15" t="str">
        <f>IF(G13="","",G13)</f>
        <v/>
      </c>
      <c r="H15" s="15" t="str">
        <f>IF(H13="","",H13)</f>
        <v/>
      </c>
      <c r="I15" s="15" t="str">
        <f>IF(I13="","",I13)</f>
        <v/>
      </c>
      <c r="J15" s="15" t="str">
        <f t="shared" si="0"/>
        <v/>
      </c>
      <c r="K15" s="14" t="s">
        <v>95</v>
      </c>
    </row>
    <row r="16" spans="1:11" ht="17.399999999999999" customHeight="1">
      <c r="A16" s="29" t="s">
        <v>96</v>
      </c>
      <c r="B16" s="29"/>
      <c r="C16" s="29"/>
      <c r="D16" s="29"/>
      <c r="E16" s="29"/>
      <c r="F16" s="29"/>
      <c r="G16" s="15" t="str">
        <f>IF(COUNT(G7:G13)=7,SUM(G7:G13),"")</f>
        <v/>
      </c>
      <c r="H16" s="15" t="str">
        <f>IF(COUNT(H7:H13)=7,SUM(H7:H13),"")</f>
        <v/>
      </c>
      <c r="I16" s="15" t="str">
        <f>IF(COUNT(I7:I13)=7,SUM(I7:I13),"")</f>
        <v/>
      </c>
      <c r="J16" s="15" t="str">
        <f t="shared" si="0"/>
        <v/>
      </c>
      <c r="K16" s="14" t="s">
        <v>97</v>
      </c>
    </row>
    <row r="17" spans="1:11" ht="17.399999999999999" customHeight="1">
      <c r="A17" s="29" t="s">
        <v>98</v>
      </c>
      <c r="B17" s="29"/>
      <c r="C17" s="29"/>
      <c r="D17" s="29"/>
      <c r="E17" s="29"/>
      <c r="F17" s="29"/>
      <c r="G17" s="30"/>
      <c r="H17" s="30"/>
      <c r="I17" s="30"/>
      <c r="J17" s="15" t="str">
        <f>IF(J16="","",J16*50/100)</f>
        <v/>
      </c>
      <c r="K17" s="14" t="s">
        <v>99</v>
      </c>
    </row>
    <row r="20" spans="1:11" ht="16" customHeight="1">
      <c r="A20" s="31" t="s">
        <v>100</v>
      </c>
      <c r="B20" s="31"/>
      <c r="C20" s="31"/>
      <c r="D20" s="31" t="s">
        <v>101</v>
      </c>
      <c r="E20" s="31"/>
      <c r="F20" s="31"/>
      <c r="G20" s="31" t="s">
        <v>102</v>
      </c>
      <c r="H20" s="31"/>
      <c r="I20" s="31"/>
      <c r="J20" s="31" t="s">
        <v>103</v>
      </c>
      <c r="K20" s="31"/>
    </row>
    <row r="21" spans="1:1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7" spans="1:11">
      <c r="A27" s="17" t="s">
        <v>8</v>
      </c>
      <c r="B27" s="33" t="str">
        <f>IF(COUNT(G16:I16)=3,"Complete",COUNT(G16:I16)&amp;"/3 lecturers complete")</f>
        <v>0/3 lecturers complete</v>
      </c>
      <c r="C27" s="33"/>
      <c r="D27" s="33"/>
      <c r="E27" s="33"/>
      <c r="F27" s="33"/>
      <c r="J27" t="s">
        <v>104</v>
      </c>
      <c r="K27" s="16"/>
    </row>
  </sheetData>
  <mergeCells count="19">
    <mergeCell ref="B27:F27"/>
    <mergeCell ref="J20:K20"/>
    <mergeCell ref="A21:C25"/>
    <mergeCell ref="D21:F25"/>
    <mergeCell ref="G21:I25"/>
    <mergeCell ref="J21:K25"/>
    <mergeCell ref="A14:F14"/>
    <mergeCell ref="A15:F15"/>
    <mergeCell ref="A16:F16"/>
    <mergeCell ref="A17:I17"/>
    <mergeCell ref="A20:C20"/>
    <mergeCell ref="D20:F20"/>
    <mergeCell ref="G20:I20"/>
    <mergeCell ref="A1:K1"/>
    <mergeCell ref="A2:K2"/>
    <mergeCell ref="B3:D3"/>
    <mergeCell ref="F3:K3"/>
    <mergeCell ref="B4:D4"/>
    <mergeCell ref="F4:K4"/>
  </mergeCells>
  <conditionalFormatting sqref="G7:G13">
    <cfRule type="expression" dxfId="17" priority="1">
      <formula>AND(ISNUMBER(G7),OR(G7&lt;0,G7&gt;$B7))</formula>
    </cfRule>
  </conditionalFormatting>
  <conditionalFormatting sqref="H7:H13">
    <cfRule type="expression" dxfId="16" priority="2">
      <formula>AND(ISNUMBER(H7),OR(H7&lt;0,H7&gt;$B7))</formula>
    </cfRule>
  </conditionalFormatting>
  <conditionalFormatting sqref="I7:I13">
    <cfRule type="expression" dxfId="15" priority="3">
      <formula>AND(ISNUMBER(I7),OR(I7&lt;0,I7&gt;$B7))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6"/>
  <sheetViews>
    <sheetView workbookViewId="0">
      <selection activeCell="A4" sqref="A4:XFD4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124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>
      <c r="A2" s="3" t="s">
        <v>1</v>
      </c>
      <c r="B2" s="27" t="s">
        <v>30</v>
      </c>
      <c r="C2" s="27"/>
      <c r="D2" s="27"/>
      <c r="E2" s="3" t="s">
        <v>2</v>
      </c>
      <c r="F2" s="28"/>
      <c r="G2" s="28"/>
      <c r="H2" s="28"/>
      <c r="I2" s="28"/>
      <c r="J2" s="28"/>
      <c r="K2" s="28"/>
    </row>
    <row r="3" spans="1:11">
      <c r="A3" s="3" t="s">
        <v>43</v>
      </c>
      <c r="B3" s="27" t="s">
        <v>44</v>
      </c>
      <c r="C3" s="27"/>
      <c r="D3" s="27"/>
      <c r="E3" s="3" t="s">
        <v>45</v>
      </c>
      <c r="F3" s="28"/>
      <c r="G3" s="28"/>
      <c r="H3" s="28"/>
      <c r="I3" s="28"/>
      <c r="J3" s="28"/>
      <c r="K3" s="28"/>
    </row>
    <row r="5" spans="1:11" ht="24" customHeight="1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46</v>
      </c>
      <c r="H5" s="5" t="s">
        <v>47</v>
      </c>
      <c r="I5" s="5" t="s">
        <v>48</v>
      </c>
      <c r="J5" s="5" t="s">
        <v>55</v>
      </c>
      <c r="K5" s="5" t="s">
        <v>56</v>
      </c>
    </row>
    <row r="6" spans="1:11" ht="74.650000000000006" customHeight="1">
      <c r="A6" s="7" t="s">
        <v>57</v>
      </c>
      <c r="B6" s="10">
        <v>15</v>
      </c>
      <c r="C6" s="6" t="s">
        <v>58</v>
      </c>
      <c r="D6" s="6" t="s">
        <v>59</v>
      </c>
      <c r="E6" s="6" t="s">
        <v>60</v>
      </c>
      <c r="F6" s="6" t="s">
        <v>61</v>
      </c>
      <c r="G6" s="11"/>
      <c r="H6" s="11"/>
      <c r="I6" s="11"/>
      <c r="J6" s="12" t="str">
        <f t="shared" ref="J6:J15" si="0">IF(COUNT(G6:I6)=3,AVERAGE(G6:I6),"")</f>
        <v/>
      </c>
      <c r="K6" s="13"/>
    </row>
    <row r="7" spans="1:11" ht="74.650000000000006" customHeight="1">
      <c r="A7" s="7" t="s">
        <v>62</v>
      </c>
      <c r="B7" s="10">
        <v>15</v>
      </c>
      <c r="C7" s="6" t="s">
        <v>63</v>
      </c>
      <c r="D7" s="6" t="s">
        <v>64</v>
      </c>
      <c r="E7" s="6" t="s">
        <v>65</v>
      </c>
      <c r="F7" s="6" t="s">
        <v>66</v>
      </c>
      <c r="G7" s="11"/>
      <c r="H7" s="11"/>
      <c r="I7" s="11"/>
      <c r="J7" s="12" t="str">
        <f t="shared" si="0"/>
        <v/>
      </c>
      <c r="K7" s="13"/>
    </row>
    <row r="8" spans="1:11" ht="74.650000000000006" customHeight="1">
      <c r="A8" s="7" t="s">
        <v>67</v>
      </c>
      <c r="B8" s="10">
        <v>15</v>
      </c>
      <c r="C8" s="6" t="s">
        <v>68</v>
      </c>
      <c r="D8" s="6" t="s">
        <v>69</v>
      </c>
      <c r="E8" s="6" t="s">
        <v>70</v>
      </c>
      <c r="F8" s="6" t="s">
        <v>71</v>
      </c>
      <c r="G8" s="11"/>
      <c r="H8" s="11"/>
      <c r="I8" s="11"/>
      <c r="J8" s="12" t="str">
        <f t="shared" si="0"/>
        <v/>
      </c>
      <c r="K8" s="13"/>
    </row>
    <row r="9" spans="1:11" ht="74.650000000000006" customHeight="1">
      <c r="A9" s="7" t="s">
        <v>72</v>
      </c>
      <c r="B9" s="10">
        <v>15</v>
      </c>
      <c r="C9" s="6" t="s">
        <v>73</v>
      </c>
      <c r="D9" s="6" t="s">
        <v>74</v>
      </c>
      <c r="E9" s="6" t="s">
        <v>75</v>
      </c>
      <c r="F9" s="6" t="s">
        <v>76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77</v>
      </c>
      <c r="B10" s="10">
        <v>5</v>
      </c>
      <c r="C10" s="6" t="s">
        <v>78</v>
      </c>
      <c r="D10" s="6" t="s">
        <v>79</v>
      </c>
      <c r="E10" s="6" t="s">
        <v>80</v>
      </c>
      <c r="F10" s="6" t="s">
        <v>81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82</v>
      </c>
      <c r="B11" s="10">
        <v>5</v>
      </c>
      <c r="C11" s="6" t="s">
        <v>83</v>
      </c>
      <c r="D11" s="6" t="s">
        <v>84</v>
      </c>
      <c r="E11" s="6" t="s">
        <v>85</v>
      </c>
      <c r="F11" s="6" t="s">
        <v>86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9" t="s">
        <v>87</v>
      </c>
      <c r="B12" s="10">
        <v>30</v>
      </c>
      <c r="C12" s="8" t="s">
        <v>88</v>
      </c>
      <c r="D12" s="8" t="s">
        <v>89</v>
      </c>
      <c r="E12" s="8" t="s">
        <v>90</v>
      </c>
      <c r="F12" s="8" t="s">
        <v>91</v>
      </c>
      <c r="G12" s="11"/>
      <c r="H12" s="11"/>
      <c r="I12" s="11"/>
      <c r="J12" s="12" t="str">
        <f t="shared" si="0"/>
        <v/>
      </c>
      <c r="K12" s="13"/>
    </row>
    <row r="13" spans="1:11" ht="17.399999999999999" customHeight="1">
      <c r="A13" s="29" t="s">
        <v>92</v>
      </c>
      <c r="B13" s="29"/>
      <c r="C13" s="29"/>
      <c r="D13" s="29"/>
      <c r="E13" s="29"/>
      <c r="F13" s="29"/>
      <c r="G13" s="15" t="str">
        <f>IF(COUNT(G6:G11)=6,SUM(G6:G11),"")</f>
        <v/>
      </c>
      <c r="H13" s="15" t="str">
        <f>IF(COUNT(H6:H11)=6,SUM(H6:H11),"")</f>
        <v/>
      </c>
      <c r="I13" s="15" t="str">
        <f>IF(COUNT(I6:I11)=6,SUM(I6:I11),"")</f>
        <v/>
      </c>
      <c r="J13" s="15" t="str">
        <f t="shared" si="0"/>
        <v/>
      </c>
      <c r="K13" s="14" t="s">
        <v>93</v>
      </c>
    </row>
    <row r="14" spans="1:11" ht="17.399999999999999" customHeight="1">
      <c r="A14" s="29" t="s">
        <v>94</v>
      </c>
      <c r="B14" s="29"/>
      <c r="C14" s="29"/>
      <c r="D14" s="29"/>
      <c r="E14" s="29"/>
      <c r="F14" s="29"/>
      <c r="G14" s="15" t="str">
        <f>IF(G12="","",G12)</f>
        <v/>
      </c>
      <c r="H14" s="15" t="str">
        <f>IF(H12="","",H12)</f>
        <v/>
      </c>
      <c r="I14" s="15" t="str">
        <f>IF(I12="","",I12)</f>
        <v/>
      </c>
      <c r="J14" s="15" t="str">
        <f t="shared" si="0"/>
        <v/>
      </c>
      <c r="K14" s="14" t="s">
        <v>95</v>
      </c>
    </row>
    <row r="15" spans="1:11" ht="17.399999999999999" customHeight="1">
      <c r="A15" s="29" t="s">
        <v>96</v>
      </c>
      <c r="B15" s="29"/>
      <c r="C15" s="29"/>
      <c r="D15" s="29"/>
      <c r="E15" s="29"/>
      <c r="F15" s="29"/>
      <c r="G15" s="15" t="str">
        <f>IF(COUNT(G6:G12)=7,SUM(G6:G12),"")</f>
        <v/>
      </c>
      <c r="H15" s="15" t="str">
        <f>IF(COUNT(H6:H12)=7,SUM(H6:H12),"")</f>
        <v/>
      </c>
      <c r="I15" s="15" t="str">
        <f>IF(COUNT(I6:I12)=7,SUM(I6:I12),"")</f>
        <v/>
      </c>
      <c r="J15" s="15" t="str">
        <f t="shared" si="0"/>
        <v/>
      </c>
      <c r="K15" s="14" t="s">
        <v>97</v>
      </c>
    </row>
    <row r="16" spans="1:11" ht="17.399999999999999" customHeight="1">
      <c r="A16" s="29" t="s">
        <v>98</v>
      </c>
      <c r="B16" s="29"/>
      <c r="C16" s="29"/>
      <c r="D16" s="29"/>
      <c r="E16" s="29"/>
      <c r="F16" s="29"/>
      <c r="G16" s="30"/>
      <c r="H16" s="30"/>
      <c r="I16" s="30"/>
      <c r="J16" s="15" t="str">
        <f>IF(J15="","",J15*50/100)</f>
        <v/>
      </c>
      <c r="K16" s="14" t="s">
        <v>99</v>
      </c>
    </row>
    <row r="19" spans="1:11" ht="16" customHeight="1">
      <c r="A19" s="31" t="s">
        <v>100</v>
      </c>
      <c r="B19" s="31"/>
      <c r="C19" s="31"/>
      <c r="D19" s="31" t="s">
        <v>101</v>
      </c>
      <c r="E19" s="31"/>
      <c r="F19" s="31"/>
      <c r="G19" s="31" t="s">
        <v>102</v>
      </c>
      <c r="H19" s="31"/>
      <c r="I19" s="31"/>
      <c r="J19" s="31" t="s">
        <v>103</v>
      </c>
      <c r="K19" s="31"/>
    </row>
    <row r="20" spans="1:1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</row>
    <row r="21" spans="1:1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6" spans="1:11">
      <c r="A26" s="17" t="s">
        <v>8</v>
      </c>
      <c r="B26" s="33" t="str">
        <f>IF(COUNT(G15:I15)=3,"Complete",COUNT(G15:I15)&amp;"/3 lecturers complete")</f>
        <v>0/3 lecturers complete</v>
      </c>
      <c r="C26" s="33"/>
      <c r="D26" s="33"/>
      <c r="E26" s="33"/>
      <c r="F26" s="33"/>
      <c r="J26" t="s">
        <v>104</v>
      </c>
      <c r="K26" s="16"/>
    </row>
  </sheetData>
  <mergeCells count="18">
    <mergeCell ref="B26:F26"/>
    <mergeCell ref="J19:K19"/>
    <mergeCell ref="A20:C24"/>
    <mergeCell ref="D20:F24"/>
    <mergeCell ref="G20:I24"/>
    <mergeCell ref="J20:K24"/>
    <mergeCell ref="A13:F13"/>
    <mergeCell ref="A14:F14"/>
    <mergeCell ref="A15:F15"/>
    <mergeCell ref="A16:I16"/>
    <mergeCell ref="A19:C19"/>
    <mergeCell ref="D19:F19"/>
    <mergeCell ref="G19:I19"/>
    <mergeCell ref="A1:K1"/>
    <mergeCell ref="B2:D2"/>
    <mergeCell ref="F2:K2"/>
    <mergeCell ref="B3:D3"/>
    <mergeCell ref="F3:K3"/>
  </mergeCells>
  <conditionalFormatting sqref="G6:G12">
    <cfRule type="expression" dxfId="14" priority="1">
      <formula>AND(ISNUMBER(G6),OR(G6&lt;0,G6&gt;$B6))</formula>
    </cfRule>
  </conditionalFormatting>
  <conditionalFormatting sqref="H6:H12">
    <cfRule type="expression" dxfId="13" priority="2">
      <formula>AND(ISNUMBER(H6),OR(H6&lt;0,H6&gt;$B6))</formula>
    </cfRule>
  </conditionalFormatting>
  <conditionalFormatting sqref="I6:I12">
    <cfRule type="expression" dxfId="12" priority="3">
      <formula>AND(ISNUMBER(I6),OR(I6&lt;0,I6&gt;$B6))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6"/>
  <sheetViews>
    <sheetView workbookViewId="0">
      <selection activeCell="A4" sqref="A4:XFD4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125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>
      <c r="A2" s="3" t="s">
        <v>1</v>
      </c>
      <c r="B2" s="27" t="s">
        <v>31</v>
      </c>
      <c r="C2" s="27"/>
      <c r="D2" s="27"/>
      <c r="E2" s="3" t="s">
        <v>2</v>
      </c>
      <c r="F2" s="28"/>
      <c r="G2" s="28"/>
      <c r="H2" s="28"/>
      <c r="I2" s="28"/>
      <c r="J2" s="28"/>
      <c r="K2" s="28"/>
    </row>
    <row r="3" spans="1:11">
      <c r="A3" s="3" t="s">
        <v>43</v>
      </c>
      <c r="B3" s="27" t="s">
        <v>44</v>
      </c>
      <c r="C3" s="27"/>
      <c r="D3" s="27"/>
      <c r="E3" s="3" t="s">
        <v>45</v>
      </c>
      <c r="F3" s="28"/>
      <c r="G3" s="28"/>
      <c r="H3" s="28"/>
      <c r="I3" s="28"/>
      <c r="J3" s="28"/>
      <c r="K3" s="28"/>
    </row>
    <row r="5" spans="1:11" ht="24" customHeight="1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46</v>
      </c>
      <c r="H5" s="5" t="s">
        <v>47</v>
      </c>
      <c r="I5" s="5" t="s">
        <v>48</v>
      </c>
      <c r="J5" s="5" t="s">
        <v>55</v>
      </c>
      <c r="K5" s="5" t="s">
        <v>56</v>
      </c>
    </row>
    <row r="6" spans="1:11" ht="74.650000000000006" customHeight="1">
      <c r="A6" s="7" t="s">
        <v>57</v>
      </c>
      <c r="B6" s="10">
        <v>15</v>
      </c>
      <c r="C6" s="6" t="s">
        <v>58</v>
      </c>
      <c r="D6" s="6" t="s">
        <v>59</v>
      </c>
      <c r="E6" s="6" t="s">
        <v>60</v>
      </c>
      <c r="F6" s="6" t="s">
        <v>61</v>
      </c>
      <c r="G6" s="11"/>
      <c r="H6" s="11"/>
      <c r="I6" s="11"/>
      <c r="J6" s="12" t="str">
        <f t="shared" ref="J6:J15" si="0">IF(COUNT(G6:I6)=3,AVERAGE(G6:I6),"")</f>
        <v/>
      </c>
      <c r="K6" s="13"/>
    </row>
    <row r="7" spans="1:11" ht="74.650000000000006" customHeight="1">
      <c r="A7" s="7" t="s">
        <v>62</v>
      </c>
      <c r="B7" s="10">
        <v>15</v>
      </c>
      <c r="C7" s="6" t="s">
        <v>63</v>
      </c>
      <c r="D7" s="6" t="s">
        <v>64</v>
      </c>
      <c r="E7" s="6" t="s">
        <v>65</v>
      </c>
      <c r="F7" s="6" t="s">
        <v>66</v>
      </c>
      <c r="G7" s="11"/>
      <c r="H7" s="11"/>
      <c r="I7" s="11"/>
      <c r="J7" s="12" t="str">
        <f t="shared" si="0"/>
        <v/>
      </c>
      <c r="K7" s="13"/>
    </row>
    <row r="8" spans="1:11" ht="74.650000000000006" customHeight="1">
      <c r="A8" s="7" t="s">
        <v>67</v>
      </c>
      <c r="B8" s="10">
        <v>15</v>
      </c>
      <c r="C8" s="6" t="s">
        <v>68</v>
      </c>
      <c r="D8" s="6" t="s">
        <v>69</v>
      </c>
      <c r="E8" s="6" t="s">
        <v>70</v>
      </c>
      <c r="F8" s="6" t="s">
        <v>71</v>
      </c>
      <c r="G8" s="11"/>
      <c r="H8" s="11"/>
      <c r="I8" s="11"/>
      <c r="J8" s="12" t="str">
        <f t="shared" si="0"/>
        <v/>
      </c>
      <c r="K8" s="13"/>
    </row>
    <row r="9" spans="1:11" ht="74.650000000000006" customHeight="1">
      <c r="A9" s="7" t="s">
        <v>72</v>
      </c>
      <c r="B9" s="10">
        <v>15</v>
      </c>
      <c r="C9" s="6" t="s">
        <v>73</v>
      </c>
      <c r="D9" s="6" t="s">
        <v>74</v>
      </c>
      <c r="E9" s="6" t="s">
        <v>75</v>
      </c>
      <c r="F9" s="6" t="s">
        <v>76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77</v>
      </c>
      <c r="B10" s="10">
        <v>5</v>
      </c>
      <c r="C10" s="6" t="s">
        <v>78</v>
      </c>
      <c r="D10" s="6" t="s">
        <v>79</v>
      </c>
      <c r="E10" s="6" t="s">
        <v>80</v>
      </c>
      <c r="F10" s="6" t="s">
        <v>81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82</v>
      </c>
      <c r="B11" s="10">
        <v>5</v>
      </c>
      <c r="C11" s="6" t="s">
        <v>83</v>
      </c>
      <c r="D11" s="6" t="s">
        <v>84</v>
      </c>
      <c r="E11" s="6" t="s">
        <v>85</v>
      </c>
      <c r="F11" s="6" t="s">
        <v>86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9" t="s">
        <v>87</v>
      </c>
      <c r="B12" s="10">
        <v>30</v>
      </c>
      <c r="C12" s="8" t="s">
        <v>88</v>
      </c>
      <c r="D12" s="8" t="s">
        <v>89</v>
      </c>
      <c r="E12" s="8" t="s">
        <v>90</v>
      </c>
      <c r="F12" s="8" t="s">
        <v>91</v>
      </c>
      <c r="G12" s="11"/>
      <c r="H12" s="11"/>
      <c r="I12" s="11"/>
      <c r="J12" s="12" t="str">
        <f t="shared" si="0"/>
        <v/>
      </c>
      <c r="K12" s="13"/>
    </row>
    <row r="13" spans="1:11" ht="17.399999999999999" customHeight="1">
      <c r="A13" s="29" t="s">
        <v>92</v>
      </c>
      <c r="B13" s="29"/>
      <c r="C13" s="29"/>
      <c r="D13" s="29"/>
      <c r="E13" s="29"/>
      <c r="F13" s="29"/>
      <c r="G13" s="15" t="str">
        <f>IF(COUNT(G6:G11)=6,SUM(G6:G11),"")</f>
        <v/>
      </c>
      <c r="H13" s="15" t="str">
        <f>IF(COUNT(H6:H11)=6,SUM(H6:H11),"")</f>
        <v/>
      </c>
      <c r="I13" s="15" t="str">
        <f>IF(COUNT(I6:I11)=6,SUM(I6:I11),"")</f>
        <v/>
      </c>
      <c r="J13" s="15" t="str">
        <f t="shared" si="0"/>
        <v/>
      </c>
      <c r="K13" s="14" t="s">
        <v>93</v>
      </c>
    </row>
    <row r="14" spans="1:11" ht="17.399999999999999" customHeight="1">
      <c r="A14" s="29" t="s">
        <v>94</v>
      </c>
      <c r="B14" s="29"/>
      <c r="C14" s="29"/>
      <c r="D14" s="29"/>
      <c r="E14" s="29"/>
      <c r="F14" s="29"/>
      <c r="G14" s="15" t="str">
        <f>IF(G12="","",G12)</f>
        <v/>
      </c>
      <c r="H14" s="15" t="str">
        <f>IF(H12="","",H12)</f>
        <v/>
      </c>
      <c r="I14" s="15" t="str">
        <f>IF(I12="","",I12)</f>
        <v/>
      </c>
      <c r="J14" s="15" t="str">
        <f t="shared" si="0"/>
        <v/>
      </c>
      <c r="K14" s="14" t="s">
        <v>95</v>
      </c>
    </row>
    <row r="15" spans="1:11" ht="17.399999999999999" customHeight="1">
      <c r="A15" s="29" t="s">
        <v>96</v>
      </c>
      <c r="B15" s="29"/>
      <c r="C15" s="29"/>
      <c r="D15" s="29"/>
      <c r="E15" s="29"/>
      <c r="F15" s="29"/>
      <c r="G15" s="15" t="str">
        <f>IF(COUNT(G6:G12)=7,SUM(G6:G12),"")</f>
        <v/>
      </c>
      <c r="H15" s="15" t="str">
        <f>IF(COUNT(H6:H12)=7,SUM(H6:H12),"")</f>
        <v/>
      </c>
      <c r="I15" s="15" t="str">
        <f>IF(COUNT(I6:I12)=7,SUM(I6:I12),"")</f>
        <v/>
      </c>
      <c r="J15" s="15" t="str">
        <f t="shared" si="0"/>
        <v/>
      </c>
      <c r="K15" s="14" t="s">
        <v>97</v>
      </c>
    </row>
    <row r="16" spans="1:11" ht="17.399999999999999" customHeight="1">
      <c r="A16" s="29" t="s">
        <v>98</v>
      </c>
      <c r="B16" s="29"/>
      <c r="C16" s="29"/>
      <c r="D16" s="29"/>
      <c r="E16" s="29"/>
      <c r="F16" s="29"/>
      <c r="G16" s="30"/>
      <c r="H16" s="30"/>
      <c r="I16" s="30"/>
      <c r="J16" s="15" t="str">
        <f>IF(J15="","",J15*50/100)</f>
        <v/>
      </c>
      <c r="K16" s="14" t="s">
        <v>99</v>
      </c>
    </row>
    <row r="19" spans="1:11" ht="16" customHeight="1">
      <c r="A19" s="31" t="s">
        <v>100</v>
      </c>
      <c r="B19" s="31"/>
      <c r="C19" s="31"/>
      <c r="D19" s="31" t="s">
        <v>101</v>
      </c>
      <c r="E19" s="31"/>
      <c r="F19" s="31"/>
      <c r="G19" s="31" t="s">
        <v>102</v>
      </c>
      <c r="H19" s="31"/>
      <c r="I19" s="31"/>
      <c r="J19" s="31" t="s">
        <v>103</v>
      </c>
      <c r="K19" s="31"/>
    </row>
    <row r="20" spans="1:1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</row>
    <row r="21" spans="1:1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6" spans="1:11">
      <c r="A26" s="17" t="s">
        <v>8</v>
      </c>
      <c r="B26" s="33" t="str">
        <f>IF(COUNT(G15:I15)=3,"Complete",COUNT(G15:I15)&amp;"/3 lecturers complete")</f>
        <v>0/3 lecturers complete</v>
      </c>
      <c r="C26" s="33"/>
      <c r="D26" s="33"/>
      <c r="E26" s="33"/>
      <c r="F26" s="33"/>
      <c r="J26" t="s">
        <v>104</v>
      </c>
      <c r="K26" s="16"/>
    </row>
  </sheetData>
  <mergeCells count="18">
    <mergeCell ref="B26:F26"/>
    <mergeCell ref="J19:K19"/>
    <mergeCell ref="A20:C24"/>
    <mergeCell ref="D20:F24"/>
    <mergeCell ref="G20:I24"/>
    <mergeCell ref="J20:K24"/>
    <mergeCell ref="A13:F13"/>
    <mergeCell ref="A14:F14"/>
    <mergeCell ref="A15:F15"/>
    <mergeCell ref="A16:I16"/>
    <mergeCell ref="A19:C19"/>
    <mergeCell ref="D19:F19"/>
    <mergeCell ref="G19:I19"/>
    <mergeCell ref="A1:K1"/>
    <mergeCell ref="B2:D2"/>
    <mergeCell ref="F2:K2"/>
    <mergeCell ref="B3:D3"/>
    <mergeCell ref="F3:K3"/>
  </mergeCells>
  <conditionalFormatting sqref="G6:G12">
    <cfRule type="expression" dxfId="11" priority="1">
      <formula>AND(ISNUMBER(G6),OR(G6&lt;0,G6&gt;$B6))</formula>
    </cfRule>
  </conditionalFormatting>
  <conditionalFormatting sqref="H6:H12">
    <cfRule type="expression" dxfId="10" priority="2">
      <formula>AND(ISNUMBER(H6),OR(H6&lt;0,H6&gt;$B6))</formula>
    </cfRule>
  </conditionalFormatting>
  <conditionalFormatting sqref="I6:I12">
    <cfRule type="expression" dxfId="9" priority="3">
      <formula>AND(ISNUMBER(I6),OR(I6&lt;0,I6&gt;$B6))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6"/>
  <sheetViews>
    <sheetView workbookViewId="0">
      <selection activeCell="A4" sqref="A4:XFD4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126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>
      <c r="A2" s="3" t="s">
        <v>1</v>
      </c>
      <c r="B2" s="27" t="s">
        <v>32</v>
      </c>
      <c r="C2" s="27"/>
      <c r="D2" s="27"/>
      <c r="E2" s="3" t="s">
        <v>2</v>
      </c>
      <c r="F2" s="28"/>
      <c r="G2" s="28"/>
      <c r="H2" s="28"/>
      <c r="I2" s="28"/>
      <c r="J2" s="28"/>
      <c r="K2" s="28"/>
    </row>
    <row r="3" spans="1:11">
      <c r="A3" s="3" t="s">
        <v>43</v>
      </c>
      <c r="B3" s="27" t="s">
        <v>44</v>
      </c>
      <c r="C3" s="27"/>
      <c r="D3" s="27"/>
      <c r="E3" s="3" t="s">
        <v>45</v>
      </c>
      <c r="F3" s="28"/>
      <c r="G3" s="28"/>
      <c r="H3" s="28"/>
      <c r="I3" s="28"/>
      <c r="J3" s="28"/>
      <c r="K3" s="28"/>
    </row>
    <row r="5" spans="1:11" ht="24" customHeight="1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46</v>
      </c>
      <c r="H5" s="5" t="s">
        <v>47</v>
      </c>
      <c r="I5" s="5" t="s">
        <v>48</v>
      </c>
      <c r="J5" s="5" t="s">
        <v>55</v>
      </c>
      <c r="K5" s="5" t="s">
        <v>56</v>
      </c>
    </row>
    <row r="6" spans="1:11" ht="74.650000000000006" customHeight="1">
      <c r="A6" s="7" t="s">
        <v>57</v>
      </c>
      <c r="B6" s="10">
        <v>15</v>
      </c>
      <c r="C6" s="6" t="s">
        <v>58</v>
      </c>
      <c r="D6" s="6" t="s">
        <v>59</v>
      </c>
      <c r="E6" s="6" t="s">
        <v>60</v>
      </c>
      <c r="F6" s="6" t="s">
        <v>61</v>
      </c>
      <c r="G6" s="11"/>
      <c r="H6" s="11"/>
      <c r="I6" s="11"/>
      <c r="J6" s="12" t="str">
        <f t="shared" ref="J6:J15" si="0">IF(COUNT(G6:I6)=3,AVERAGE(G6:I6),"")</f>
        <v/>
      </c>
      <c r="K6" s="13"/>
    </row>
    <row r="7" spans="1:11" ht="74.650000000000006" customHeight="1">
      <c r="A7" s="7" t="s">
        <v>62</v>
      </c>
      <c r="B7" s="10">
        <v>15</v>
      </c>
      <c r="C7" s="6" t="s">
        <v>63</v>
      </c>
      <c r="D7" s="6" t="s">
        <v>64</v>
      </c>
      <c r="E7" s="6" t="s">
        <v>65</v>
      </c>
      <c r="F7" s="6" t="s">
        <v>66</v>
      </c>
      <c r="G7" s="11"/>
      <c r="H7" s="11"/>
      <c r="I7" s="11"/>
      <c r="J7" s="12" t="str">
        <f t="shared" si="0"/>
        <v/>
      </c>
      <c r="K7" s="13"/>
    </row>
    <row r="8" spans="1:11" ht="74.650000000000006" customHeight="1">
      <c r="A8" s="7" t="s">
        <v>67</v>
      </c>
      <c r="B8" s="10">
        <v>15</v>
      </c>
      <c r="C8" s="6" t="s">
        <v>68</v>
      </c>
      <c r="D8" s="6" t="s">
        <v>69</v>
      </c>
      <c r="E8" s="6" t="s">
        <v>70</v>
      </c>
      <c r="F8" s="6" t="s">
        <v>71</v>
      </c>
      <c r="G8" s="11"/>
      <c r="H8" s="11"/>
      <c r="I8" s="11"/>
      <c r="J8" s="12" t="str">
        <f t="shared" si="0"/>
        <v/>
      </c>
      <c r="K8" s="13"/>
    </row>
    <row r="9" spans="1:11" ht="74.650000000000006" customHeight="1">
      <c r="A9" s="7" t="s">
        <v>72</v>
      </c>
      <c r="B9" s="10">
        <v>15</v>
      </c>
      <c r="C9" s="6" t="s">
        <v>73</v>
      </c>
      <c r="D9" s="6" t="s">
        <v>74</v>
      </c>
      <c r="E9" s="6" t="s">
        <v>75</v>
      </c>
      <c r="F9" s="6" t="s">
        <v>76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77</v>
      </c>
      <c r="B10" s="10">
        <v>5</v>
      </c>
      <c r="C10" s="6" t="s">
        <v>78</v>
      </c>
      <c r="D10" s="6" t="s">
        <v>79</v>
      </c>
      <c r="E10" s="6" t="s">
        <v>80</v>
      </c>
      <c r="F10" s="6" t="s">
        <v>81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82</v>
      </c>
      <c r="B11" s="10">
        <v>5</v>
      </c>
      <c r="C11" s="6" t="s">
        <v>83</v>
      </c>
      <c r="D11" s="6" t="s">
        <v>84</v>
      </c>
      <c r="E11" s="6" t="s">
        <v>85</v>
      </c>
      <c r="F11" s="6" t="s">
        <v>86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9" t="s">
        <v>87</v>
      </c>
      <c r="B12" s="10">
        <v>30</v>
      </c>
      <c r="C12" s="8" t="s">
        <v>88</v>
      </c>
      <c r="D12" s="8" t="s">
        <v>89</v>
      </c>
      <c r="E12" s="8" t="s">
        <v>90</v>
      </c>
      <c r="F12" s="8" t="s">
        <v>91</v>
      </c>
      <c r="G12" s="11"/>
      <c r="H12" s="11"/>
      <c r="I12" s="11"/>
      <c r="J12" s="12" t="str">
        <f t="shared" si="0"/>
        <v/>
      </c>
      <c r="K12" s="13"/>
    </row>
    <row r="13" spans="1:11" ht="17.399999999999999" customHeight="1">
      <c r="A13" s="29" t="s">
        <v>92</v>
      </c>
      <c r="B13" s="29"/>
      <c r="C13" s="29"/>
      <c r="D13" s="29"/>
      <c r="E13" s="29"/>
      <c r="F13" s="29"/>
      <c r="G13" s="15" t="str">
        <f>IF(COUNT(G6:G11)=6,SUM(G6:G11),"")</f>
        <v/>
      </c>
      <c r="H13" s="15" t="str">
        <f>IF(COUNT(H6:H11)=6,SUM(H6:H11),"")</f>
        <v/>
      </c>
      <c r="I13" s="15" t="str">
        <f>IF(COUNT(I6:I11)=6,SUM(I6:I11),"")</f>
        <v/>
      </c>
      <c r="J13" s="15" t="str">
        <f t="shared" si="0"/>
        <v/>
      </c>
      <c r="K13" s="14" t="s">
        <v>93</v>
      </c>
    </row>
    <row r="14" spans="1:11" ht="17.399999999999999" customHeight="1">
      <c r="A14" s="29" t="s">
        <v>94</v>
      </c>
      <c r="B14" s="29"/>
      <c r="C14" s="29"/>
      <c r="D14" s="29"/>
      <c r="E14" s="29"/>
      <c r="F14" s="29"/>
      <c r="G14" s="15" t="str">
        <f>IF(G12="","",G12)</f>
        <v/>
      </c>
      <c r="H14" s="15" t="str">
        <f>IF(H12="","",H12)</f>
        <v/>
      </c>
      <c r="I14" s="15" t="str">
        <f>IF(I12="","",I12)</f>
        <v/>
      </c>
      <c r="J14" s="15" t="str">
        <f t="shared" si="0"/>
        <v/>
      </c>
      <c r="K14" s="14" t="s">
        <v>95</v>
      </c>
    </row>
    <row r="15" spans="1:11" ht="17.399999999999999" customHeight="1">
      <c r="A15" s="29" t="s">
        <v>96</v>
      </c>
      <c r="B15" s="29"/>
      <c r="C15" s="29"/>
      <c r="D15" s="29"/>
      <c r="E15" s="29"/>
      <c r="F15" s="29"/>
      <c r="G15" s="15" t="str">
        <f>IF(COUNT(G6:G12)=7,SUM(G6:G12),"")</f>
        <v/>
      </c>
      <c r="H15" s="15" t="str">
        <f>IF(COUNT(H6:H12)=7,SUM(H6:H12),"")</f>
        <v/>
      </c>
      <c r="I15" s="15" t="str">
        <f>IF(COUNT(I6:I12)=7,SUM(I6:I12),"")</f>
        <v/>
      </c>
      <c r="J15" s="15" t="str">
        <f t="shared" si="0"/>
        <v/>
      </c>
      <c r="K15" s="14" t="s">
        <v>97</v>
      </c>
    </row>
    <row r="16" spans="1:11" ht="17.399999999999999" customHeight="1">
      <c r="A16" s="29" t="s">
        <v>98</v>
      </c>
      <c r="B16" s="29"/>
      <c r="C16" s="29"/>
      <c r="D16" s="29"/>
      <c r="E16" s="29"/>
      <c r="F16" s="29"/>
      <c r="G16" s="30"/>
      <c r="H16" s="30"/>
      <c r="I16" s="30"/>
      <c r="J16" s="15" t="str">
        <f>IF(J15="","",J15*50/100)</f>
        <v/>
      </c>
      <c r="K16" s="14" t="s">
        <v>99</v>
      </c>
    </row>
    <row r="19" spans="1:11" ht="16" customHeight="1">
      <c r="A19" s="31" t="s">
        <v>100</v>
      </c>
      <c r="B19" s="31"/>
      <c r="C19" s="31"/>
      <c r="D19" s="31" t="s">
        <v>101</v>
      </c>
      <c r="E19" s="31"/>
      <c r="F19" s="31"/>
      <c r="G19" s="31" t="s">
        <v>102</v>
      </c>
      <c r="H19" s="31"/>
      <c r="I19" s="31"/>
      <c r="J19" s="31" t="s">
        <v>103</v>
      </c>
      <c r="K19" s="31"/>
    </row>
    <row r="20" spans="1:1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</row>
    <row r="21" spans="1:1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6" spans="1:11">
      <c r="A26" s="17" t="s">
        <v>8</v>
      </c>
      <c r="B26" s="33" t="str">
        <f>IF(COUNT(G15:I15)=3,"Complete",COUNT(G15:I15)&amp;"/3 lecturers complete")</f>
        <v>0/3 lecturers complete</v>
      </c>
      <c r="C26" s="33"/>
      <c r="D26" s="33"/>
      <c r="E26" s="33"/>
      <c r="F26" s="33"/>
      <c r="J26" t="s">
        <v>104</v>
      </c>
      <c r="K26" s="16"/>
    </row>
  </sheetData>
  <mergeCells count="18">
    <mergeCell ref="B26:F26"/>
    <mergeCell ref="J19:K19"/>
    <mergeCell ref="A20:C24"/>
    <mergeCell ref="D20:F24"/>
    <mergeCell ref="G20:I24"/>
    <mergeCell ref="J20:K24"/>
    <mergeCell ref="A13:F13"/>
    <mergeCell ref="A14:F14"/>
    <mergeCell ref="A15:F15"/>
    <mergeCell ref="A16:I16"/>
    <mergeCell ref="A19:C19"/>
    <mergeCell ref="D19:F19"/>
    <mergeCell ref="G19:I19"/>
    <mergeCell ref="A1:K1"/>
    <mergeCell ref="B2:D2"/>
    <mergeCell ref="F2:K2"/>
    <mergeCell ref="B3:D3"/>
    <mergeCell ref="F3:K3"/>
  </mergeCells>
  <conditionalFormatting sqref="G6:G12">
    <cfRule type="expression" dxfId="8" priority="1">
      <formula>AND(ISNUMBER(G6),OR(G6&lt;0,G6&gt;$B6))</formula>
    </cfRule>
  </conditionalFormatting>
  <conditionalFormatting sqref="H6:H12">
    <cfRule type="expression" dxfId="7" priority="2">
      <formula>AND(ISNUMBER(H6),OR(H6&lt;0,H6&gt;$B6))</formula>
    </cfRule>
  </conditionalFormatting>
  <conditionalFormatting sqref="I6:I12">
    <cfRule type="expression" dxfId="6" priority="3">
      <formula>AND(ISNUMBER(I6),OR(I6&lt;0,I6&gt;$B6))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6"/>
  <sheetViews>
    <sheetView workbookViewId="0">
      <selection activeCell="A4" sqref="A4:XFD4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127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>
      <c r="A2" s="3" t="s">
        <v>1</v>
      </c>
      <c r="B2" s="27" t="s">
        <v>33</v>
      </c>
      <c r="C2" s="27"/>
      <c r="D2" s="27"/>
      <c r="E2" s="3" t="s">
        <v>2</v>
      </c>
      <c r="F2" s="28"/>
      <c r="G2" s="28"/>
      <c r="H2" s="28"/>
      <c r="I2" s="28"/>
      <c r="J2" s="28"/>
      <c r="K2" s="28"/>
    </row>
    <row r="3" spans="1:11">
      <c r="A3" s="3" t="s">
        <v>43</v>
      </c>
      <c r="B3" s="27" t="s">
        <v>44</v>
      </c>
      <c r="C3" s="27"/>
      <c r="D3" s="27"/>
      <c r="E3" s="3" t="s">
        <v>45</v>
      </c>
      <c r="F3" s="28"/>
      <c r="G3" s="28"/>
      <c r="H3" s="28"/>
      <c r="I3" s="28"/>
      <c r="J3" s="28"/>
      <c r="K3" s="28"/>
    </row>
    <row r="5" spans="1:11" ht="24" customHeight="1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46</v>
      </c>
      <c r="H5" s="5" t="s">
        <v>47</v>
      </c>
      <c r="I5" s="5" t="s">
        <v>48</v>
      </c>
      <c r="J5" s="5" t="s">
        <v>55</v>
      </c>
      <c r="K5" s="5" t="s">
        <v>56</v>
      </c>
    </row>
    <row r="6" spans="1:11" ht="74.650000000000006" customHeight="1">
      <c r="A6" s="7" t="s">
        <v>57</v>
      </c>
      <c r="B6" s="10">
        <v>15</v>
      </c>
      <c r="C6" s="6" t="s">
        <v>58</v>
      </c>
      <c r="D6" s="6" t="s">
        <v>59</v>
      </c>
      <c r="E6" s="6" t="s">
        <v>60</v>
      </c>
      <c r="F6" s="6" t="s">
        <v>61</v>
      </c>
      <c r="G6" s="11"/>
      <c r="H6" s="11"/>
      <c r="I6" s="11"/>
      <c r="J6" s="12" t="str">
        <f t="shared" ref="J6:J15" si="0">IF(COUNT(G6:I6)=3,AVERAGE(G6:I6),"")</f>
        <v/>
      </c>
      <c r="K6" s="13"/>
    </row>
    <row r="7" spans="1:11" ht="74.650000000000006" customHeight="1">
      <c r="A7" s="7" t="s">
        <v>62</v>
      </c>
      <c r="B7" s="10">
        <v>15</v>
      </c>
      <c r="C7" s="6" t="s">
        <v>63</v>
      </c>
      <c r="D7" s="6" t="s">
        <v>64</v>
      </c>
      <c r="E7" s="6" t="s">
        <v>65</v>
      </c>
      <c r="F7" s="6" t="s">
        <v>66</v>
      </c>
      <c r="G7" s="11"/>
      <c r="H7" s="11"/>
      <c r="I7" s="11"/>
      <c r="J7" s="12" t="str">
        <f t="shared" si="0"/>
        <v/>
      </c>
      <c r="K7" s="13"/>
    </row>
    <row r="8" spans="1:11" ht="74.650000000000006" customHeight="1">
      <c r="A8" s="7" t="s">
        <v>67</v>
      </c>
      <c r="B8" s="10">
        <v>15</v>
      </c>
      <c r="C8" s="6" t="s">
        <v>68</v>
      </c>
      <c r="D8" s="6" t="s">
        <v>69</v>
      </c>
      <c r="E8" s="6" t="s">
        <v>70</v>
      </c>
      <c r="F8" s="6" t="s">
        <v>71</v>
      </c>
      <c r="G8" s="11"/>
      <c r="H8" s="11"/>
      <c r="I8" s="11"/>
      <c r="J8" s="12" t="str">
        <f t="shared" si="0"/>
        <v/>
      </c>
      <c r="K8" s="13"/>
    </row>
    <row r="9" spans="1:11" ht="74.650000000000006" customHeight="1">
      <c r="A9" s="7" t="s">
        <v>72</v>
      </c>
      <c r="B9" s="10">
        <v>15</v>
      </c>
      <c r="C9" s="6" t="s">
        <v>73</v>
      </c>
      <c r="D9" s="6" t="s">
        <v>74</v>
      </c>
      <c r="E9" s="6" t="s">
        <v>75</v>
      </c>
      <c r="F9" s="6" t="s">
        <v>76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77</v>
      </c>
      <c r="B10" s="10">
        <v>5</v>
      </c>
      <c r="C10" s="6" t="s">
        <v>78</v>
      </c>
      <c r="D10" s="6" t="s">
        <v>79</v>
      </c>
      <c r="E10" s="6" t="s">
        <v>80</v>
      </c>
      <c r="F10" s="6" t="s">
        <v>81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82</v>
      </c>
      <c r="B11" s="10">
        <v>5</v>
      </c>
      <c r="C11" s="6" t="s">
        <v>83</v>
      </c>
      <c r="D11" s="6" t="s">
        <v>84</v>
      </c>
      <c r="E11" s="6" t="s">
        <v>85</v>
      </c>
      <c r="F11" s="6" t="s">
        <v>86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9" t="s">
        <v>87</v>
      </c>
      <c r="B12" s="10">
        <v>30</v>
      </c>
      <c r="C12" s="8" t="s">
        <v>88</v>
      </c>
      <c r="D12" s="8" t="s">
        <v>89</v>
      </c>
      <c r="E12" s="8" t="s">
        <v>90</v>
      </c>
      <c r="F12" s="8" t="s">
        <v>91</v>
      </c>
      <c r="G12" s="11"/>
      <c r="H12" s="11"/>
      <c r="I12" s="11"/>
      <c r="J12" s="12" t="str">
        <f t="shared" si="0"/>
        <v/>
      </c>
      <c r="K12" s="13"/>
    </row>
    <row r="13" spans="1:11" ht="17.399999999999999" customHeight="1">
      <c r="A13" s="29" t="s">
        <v>92</v>
      </c>
      <c r="B13" s="29"/>
      <c r="C13" s="29"/>
      <c r="D13" s="29"/>
      <c r="E13" s="29"/>
      <c r="F13" s="29"/>
      <c r="G13" s="15" t="str">
        <f>IF(COUNT(G6:G11)=6,SUM(G6:G11),"")</f>
        <v/>
      </c>
      <c r="H13" s="15" t="str">
        <f>IF(COUNT(H6:H11)=6,SUM(H6:H11),"")</f>
        <v/>
      </c>
      <c r="I13" s="15" t="str">
        <f>IF(COUNT(I6:I11)=6,SUM(I6:I11),"")</f>
        <v/>
      </c>
      <c r="J13" s="15" t="str">
        <f t="shared" si="0"/>
        <v/>
      </c>
      <c r="K13" s="14" t="s">
        <v>93</v>
      </c>
    </row>
    <row r="14" spans="1:11" ht="17.399999999999999" customHeight="1">
      <c r="A14" s="29" t="s">
        <v>94</v>
      </c>
      <c r="B14" s="29"/>
      <c r="C14" s="29"/>
      <c r="D14" s="29"/>
      <c r="E14" s="29"/>
      <c r="F14" s="29"/>
      <c r="G14" s="15" t="str">
        <f>IF(G12="","",G12)</f>
        <v/>
      </c>
      <c r="H14" s="15" t="str">
        <f>IF(H12="","",H12)</f>
        <v/>
      </c>
      <c r="I14" s="15" t="str">
        <f>IF(I12="","",I12)</f>
        <v/>
      </c>
      <c r="J14" s="15" t="str">
        <f t="shared" si="0"/>
        <v/>
      </c>
      <c r="K14" s="14" t="s">
        <v>95</v>
      </c>
    </row>
    <row r="15" spans="1:11" ht="17.399999999999999" customHeight="1">
      <c r="A15" s="29" t="s">
        <v>96</v>
      </c>
      <c r="B15" s="29"/>
      <c r="C15" s="29"/>
      <c r="D15" s="29"/>
      <c r="E15" s="29"/>
      <c r="F15" s="29"/>
      <c r="G15" s="15" t="str">
        <f>IF(COUNT(G6:G12)=7,SUM(G6:G12),"")</f>
        <v/>
      </c>
      <c r="H15" s="15" t="str">
        <f>IF(COUNT(H6:H12)=7,SUM(H6:H12),"")</f>
        <v/>
      </c>
      <c r="I15" s="15" t="str">
        <f>IF(COUNT(I6:I12)=7,SUM(I6:I12),"")</f>
        <v/>
      </c>
      <c r="J15" s="15" t="str">
        <f t="shared" si="0"/>
        <v/>
      </c>
      <c r="K15" s="14" t="s">
        <v>97</v>
      </c>
    </row>
    <row r="16" spans="1:11" ht="17.399999999999999" customHeight="1">
      <c r="A16" s="29" t="s">
        <v>98</v>
      </c>
      <c r="B16" s="29"/>
      <c r="C16" s="29"/>
      <c r="D16" s="29"/>
      <c r="E16" s="29"/>
      <c r="F16" s="29"/>
      <c r="G16" s="30"/>
      <c r="H16" s="30"/>
      <c r="I16" s="30"/>
      <c r="J16" s="15" t="str">
        <f>IF(J15="","",J15*50/100)</f>
        <v/>
      </c>
      <c r="K16" s="14" t="s">
        <v>99</v>
      </c>
    </row>
    <row r="19" spans="1:11" ht="16" customHeight="1">
      <c r="A19" s="31" t="s">
        <v>100</v>
      </c>
      <c r="B19" s="31"/>
      <c r="C19" s="31"/>
      <c r="D19" s="31" t="s">
        <v>101</v>
      </c>
      <c r="E19" s="31"/>
      <c r="F19" s="31"/>
      <c r="G19" s="31" t="s">
        <v>102</v>
      </c>
      <c r="H19" s="31"/>
      <c r="I19" s="31"/>
      <c r="J19" s="31" t="s">
        <v>103</v>
      </c>
      <c r="K19" s="31"/>
    </row>
    <row r="20" spans="1:1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</row>
    <row r="21" spans="1:1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6" spans="1:11">
      <c r="A26" s="17" t="s">
        <v>8</v>
      </c>
      <c r="B26" s="33" t="str">
        <f>IF(COUNT(G15:I15)=3,"Complete",COUNT(G15:I15)&amp;"/3 lecturers complete")</f>
        <v>0/3 lecturers complete</v>
      </c>
      <c r="C26" s="33"/>
      <c r="D26" s="33"/>
      <c r="E26" s="33"/>
      <c r="F26" s="33"/>
      <c r="J26" t="s">
        <v>104</v>
      </c>
      <c r="K26" s="16"/>
    </row>
  </sheetData>
  <mergeCells count="18">
    <mergeCell ref="B26:F26"/>
    <mergeCell ref="J19:K19"/>
    <mergeCell ref="A20:C24"/>
    <mergeCell ref="D20:F24"/>
    <mergeCell ref="G20:I24"/>
    <mergeCell ref="J20:K24"/>
    <mergeCell ref="A13:F13"/>
    <mergeCell ref="A14:F14"/>
    <mergeCell ref="A15:F15"/>
    <mergeCell ref="A16:I16"/>
    <mergeCell ref="A19:C19"/>
    <mergeCell ref="D19:F19"/>
    <mergeCell ref="G19:I19"/>
    <mergeCell ref="A1:K1"/>
    <mergeCell ref="B2:D2"/>
    <mergeCell ref="F2:K2"/>
    <mergeCell ref="B3:D3"/>
    <mergeCell ref="F3:K3"/>
  </mergeCells>
  <conditionalFormatting sqref="G6:G12">
    <cfRule type="expression" dxfId="5" priority="1">
      <formula>AND(ISNUMBER(G6),OR(G6&lt;0,G6&gt;$B6))</formula>
    </cfRule>
  </conditionalFormatting>
  <conditionalFormatting sqref="H6:H12">
    <cfRule type="expression" dxfId="4" priority="2">
      <formula>AND(ISNUMBER(H6),OR(H6&lt;0,H6&gt;$B6))</formula>
    </cfRule>
  </conditionalFormatting>
  <conditionalFormatting sqref="I6:I12">
    <cfRule type="expression" dxfId="3" priority="3">
      <formula>AND(ISNUMBER(I6),OR(I6&lt;0,I6&gt;$B6))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6"/>
  <sheetViews>
    <sheetView tabSelected="1" workbookViewId="0">
      <selection activeCell="A4" sqref="A4:XFD4"/>
    </sheetView>
  </sheetViews>
  <sheetFormatPr defaultRowHeight="14"/>
  <cols>
    <col min="1" max="1" width="33" customWidth="1"/>
    <col min="2" max="2" width="10" customWidth="1"/>
    <col min="3" max="3" width="42" customWidth="1"/>
    <col min="4" max="6" width="38" customWidth="1"/>
    <col min="7" max="9" width="13" customWidth="1"/>
    <col min="10" max="10" width="15" customWidth="1"/>
    <col min="11" max="11" width="29" customWidth="1"/>
  </cols>
  <sheetData>
    <row r="1" spans="1:11" ht="24" customHeight="1">
      <c r="A1" s="26" t="s">
        <v>128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>
      <c r="A2" s="3" t="s">
        <v>1</v>
      </c>
      <c r="B2" s="27" t="s">
        <v>34</v>
      </c>
      <c r="C2" s="27"/>
      <c r="D2" s="27"/>
      <c r="E2" s="3" t="s">
        <v>2</v>
      </c>
      <c r="F2" s="28"/>
      <c r="G2" s="28"/>
      <c r="H2" s="28"/>
      <c r="I2" s="28"/>
      <c r="J2" s="28"/>
      <c r="K2" s="28"/>
    </row>
    <row r="3" spans="1:11">
      <c r="A3" s="3" t="s">
        <v>43</v>
      </c>
      <c r="B3" s="27" t="s">
        <v>44</v>
      </c>
      <c r="C3" s="27"/>
      <c r="D3" s="27"/>
      <c r="E3" s="3" t="s">
        <v>45</v>
      </c>
      <c r="F3" s="28"/>
      <c r="G3" s="28"/>
      <c r="H3" s="28"/>
      <c r="I3" s="28"/>
      <c r="J3" s="28"/>
      <c r="K3" s="28"/>
    </row>
    <row r="5" spans="1:11" ht="24" customHeight="1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46</v>
      </c>
      <c r="H5" s="5" t="s">
        <v>47</v>
      </c>
      <c r="I5" s="5" t="s">
        <v>48</v>
      </c>
      <c r="J5" s="5" t="s">
        <v>55</v>
      </c>
      <c r="K5" s="5" t="s">
        <v>56</v>
      </c>
    </row>
    <row r="6" spans="1:11" ht="74.650000000000006" customHeight="1">
      <c r="A6" s="7" t="s">
        <v>57</v>
      </c>
      <c r="B6" s="10">
        <v>15</v>
      </c>
      <c r="C6" s="6" t="s">
        <v>58</v>
      </c>
      <c r="D6" s="6" t="s">
        <v>59</v>
      </c>
      <c r="E6" s="6" t="s">
        <v>60</v>
      </c>
      <c r="F6" s="6" t="s">
        <v>61</v>
      </c>
      <c r="G6" s="11"/>
      <c r="H6" s="11"/>
      <c r="I6" s="11"/>
      <c r="J6" s="12" t="str">
        <f t="shared" ref="J6:J15" si="0">IF(COUNT(G6:I6)=3,AVERAGE(G6:I6),"")</f>
        <v/>
      </c>
      <c r="K6" s="13"/>
    </row>
    <row r="7" spans="1:11" ht="74.650000000000006" customHeight="1">
      <c r="A7" s="7" t="s">
        <v>62</v>
      </c>
      <c r="B7" s="10">
        <v>15</v>
      </c>
      <c r="C7" s="6" t="s">
        <v>63</v>
      </c>
      <c r="D7" s="6" t="s">
        <v>64</v>
      </c>
      <c r="E7" s="6" t="s">
        <v>65</v>
      </c>
      <c r="F7" s="6" t="s">
        <v>66</v>
      </c>
      <c r="G7" s="11"/>
      <c r="H7" s="11"/>
      <c r="I7" s="11"/>
      <c r="J7" s="12" t="str">
        <f t="shared" si="0"/>
        <v/>
      </c>
      <c r="K7" s="13"/>
    </row>
    <row r="8" spans="1:11" ht="74.650000000000006" customHeight="1">
      <c r="A8" s="7" t="s">
        <v>67</v>
      </c>
      <c r="B8" s="10">
        <v>15</v>
      </c>
      <c r="C8" s="6" t="s">
        <v>68</v>
      </c>
      <c r="D8" s="6" t="s">
        <v>69</v>
      </c>
      <c r="E8" s="6" t="s">
        <v>70</v>
      </c>
      <c r="F8" s="6" t="s">
        <v>71</v>
      </c>
      <c r="G8" s="11"/>
      <c r="H8" s="11"/>
      <c r="I8" s="11"/>
      <c r="J8" s="12" t="str">
        <f t="shared" si="0"/>
        <v/>
      </c>
      <c r="K8" s="13"/>
    </row>
    <row r="9" spans="1:11" ht="74.650000000000006" customHeight="1">
      <c r="A9" s="7" t="s">
        <v>72</v>
      </c>
      <c r="B9" s="10">
        <v>15</v>
      </c>
      <c r="C9" s="6" t="s">
        <v>73</v>
      </c>
      <c r="D9" s="6" t="s">
        <v>74</v>
      </c>
      <c r="E9" s="6" t="s">
        <v>75</v>
      </c>
      <c r="F9" s="6" t="s">
        <v>76</v>
      </c>
      <c r="G9" s="11"/>
      <c r="H9" s="11"/>
      <c r="I9" s="11"/>
      <c r="J9" s="12" t="str">
        <f t="shared" si="0"/>
        <v/>
      </c>
      <c r="K9" s="13"/>
    </row>
    <row r="10" spans="1:11" ht="74.650000000000006" customHeight="1">
      <c r="A10" s="7" t="s">
        <v>77</v>
      </c>
      <c r="B10" s="10">
        <v>5</v>
      </c>
      <c r="C10" s="6" t="s">
        <v>78</v>
      </c>
      <c r="D10" s="6" t="s">
        <v>79</v>
      </c>
      <c r="E10" s="6" t="s">
        <v>80</v>
      </c>
      <c r="F10" s="6" t="s">
        <v>81</v>
      </c>
      <c r="G10" s="11"/>
      <c r="H10" s="11"/>
      <c r="I10" s="11"/>
      <c r="J10" s="12" t="str">
        <f t="shared" si="0"/>
        <v/>
      </c>
      <c r="K10" s="13"/>
    </row>
    <row r="11" spans="1:11" ht="74.650000000000006" customHeight="1">
      <c r="A11" s="7" t="s">
        <v>82</v>
      </c>
      <c r="B11" s="10">
        <v>5</v>
      </c>
      <c r="C11" s="6" t="s">
        <v>83</v>
      </c>
      <c r="D11" s="6" t="s">
        <v>84</v>
      </c>
      <c r="E11" s="6" t="s">
        <v>85</v>
      </c>
      <c r="F11" s="6" t="s">
        <v>86</v>
      </c>
      <c r="G11" s="11"/>
      <c r="H11" s="11"/>
      <c r="I11" s="11"/>
      <c r="J11" s="12" t="str">
        <f t="shared" si="0"/>
        <v/>
      </c>
      <c r="K11" s="13"/>
    </row>
    <row r="12" spans="1:11" ht="74.650000000000006" customHeight="1">
      <c r="A12" s="9" t="s">
        <v>87</v>
      </c>
      <c r="B12" s="10">
        <v>30</v>
      </c>
      <c r="C12" s="8" t="s">
        <v>88</v>
      </c>
      <c r="D12" s="8" t="s">
        <v>89</v>
      </c>
      <c r="E12" s="8" t="s">
        <v>90</v>
      </c>
      <c r="F12" s="8" t="s">
        <v>91</v>
      </c>
      <c r="G12" s="11"/>
      <c r="H12" s="11"/>
      <c r="I12" s="11"/>
      <c r="J12" s="12" t="str">
        <f t="shared" si="0"/>
        <v/>
      </c>
      <c r="K12" s="13"/>
    </row>
    <row r="13" spans="1:11" ht="17.399999999999999" customHeight="1">
      <c r="A13" s="29" t="s">
        <v>92</v>
      </c>
      <c r="B13" s="29"/>
      <c r="C13" s="29"/>
      <c r="D13" s="29"/>
      <c r="E13" s="29"/>
      <c r="F13" s="29"/>
      <c r="G13" s="15" t="str">
        <f>IF(COUNT(G6:G11)=6,SUM(G6:G11),"")</f>
        <v/>
      </c>
      <c r="H13" s="15" t="str">
        <f>IF(COUNT(H6:H11)=6,SUM(H6:H11),"")</f>
        <v/>
      </c>
      <c r="I13" s="15" t="str">
        <f>IF(COUNT(I6:I11)=6,SUM(I6:I11),"")</f>
        <v/>
      </c>
      <c r="J13" s="15" t="str">
        <f t="shared" si="0"/>
        <v/>
      </c>
      <c r="K13" s="14" t="s">
        <v>93</v>
      </c>
    </row>
    <row r="14" spans="1:11" ht="17.399999999999999" customHeight="1">
      <c r="A14" s="29" t="s">
        <v>94</v>
      </c>
      <c r="B14" s="29"/>
      <c r="C14" s="29"/>
      <c r="D14" s="29"/>
      <c r="E14" s="29"/>
      <c r="F14" s="29"/>
      <c r="G14" s="15" t="str">
        <f>IF(G12="","",G12)</f>
        <v/>
      </c>
      <c r="H14" s="15" t="str">
        <f>IF(H12="","",H12)</f>
        <v/>
      </c>
      <c r="I14" s="15" t="str">
        <f>IF(I12="","",I12)</f>
        <v/>
      </c>
      <c r="J14" s="15" t="str">
        <f t="shared" si="0"/>
        <v/>
      </c>
      <c r="K14" s="14" t="s">
        <v>95</v>
      </c>
    </row>
    <row r="15" spans="1:11" ht="17.399999999999999" customHeight="1">
      <c r="A15" s="29" t="s">
        <v>96</v>
      </c>
      <c r="B15" s="29"/>
      <c r="C15" s="29"/>
      <c r="D15" s="29"/>
      <c r="E15" s="29"/>
      <c r="F15" s="29"/>
      <c r="G15" s="15" t="str">
        <f>IF(COUNT(G6:G12)=7,SUM(G6:G12),"")</f>
        <v/>
      </c>
      <c r="H15" s="15" t="str">
        <f>IF(COUNT(H6:H12)=7,SUM(H6:H12),"")</f>
        <v/>
      </c>
      <c r="I15" s="15" t="str">
        <f>IF(COUNT(I6:I12)=7,SUM(I6:I12),"")</f>
        <v/>
      </c>
      <c r="J15" s="15" t="str">
        <f t="shared" si="0"/>
        <v/>
      </c>
      <c r="K15" s="14" t="s">
        <v>97</v>
      </c>
    </row>
    <row r="16" spans="1:11" ht="17.399999999999999" customHeight="1">
      <c r="A16" s="29" t="s">
        <v>98</v>
      </c>
      <c r="B16" s="29"/>
      <c r="C16" s="29"/>
      <c r="D16" s="29"/>
      <c r="E16" s="29"/>
      <c r="F16" s="29"/>
      <c r="G16" s="30"/>
      <c r="H16" s="30"/>
      <c r="I16" s="30"/>
      <c r="J16" s="15" t="str">
        <f>IF(J15="","",J15*50/100)</f>
        <v/>
      </c>
      <c r="K16" s="14" t="s">
        <v>99</v>
      </c>
    </row>
    <row r="19" spans="1:11" ht="16" customHeight="1">
      <c r="A19" s="31" t="s">
        <v>100</v>
      </c>
      <c r="B19" s="31"/>
      <c r="C19" s="31"/>
      <c r="D19" s="31" t="s">
        <v>101</v>
      </c>
      <c r="E19" s="31"/>
      <c r="F19" s="31"/>
      <c r="G19" s="31" t="s">
        <v>102</v>
      </c>
      <c r="H19" s="31"/>
      <c r="I19" s="31"/>
      <c r="J19" s="31" t="s">
        <v>103</v>
      </c>
      <c r="K19" s="31"/>
    </row>
    <row r="20" spans="1:1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</row>
    <row r="21" spans="1:1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6" spans="1:11">
      <c r="A26" s="17" t="s">
        <v>8</v>
      </c>
      <c r="B26" s="33" t="str">
        <f>IF(COUNT(G15:I15)=3,"Complete",COUNT(G15:I15)&amp;"/3 lecturers complete")</f>
        <v>0/3 lecturers complete</v>
      </c>
      <c r="C26" s="33"/>
      <c r="D26" s="33"/>
      <c r="E26" s="33"/>
      <c r="F26" s="33"/>
      <c r="J26" t="s">
        <v>104</v>
      </c>
      <c r="K26" s="16"/>
    </row>
  </sheetData>
  <mergeCells count="18">
    <mergeCell ref="B26:F26"/>
    <mergeCell ref="J19:K19"/>
    <mergeCell ref="A20:C24"/>
    <mergeCell ref="D20:F24"/>
    <mergeCell ref="G20:I24"/>
    <mergeCell ref="J20:K24"/>
    <mergeCell ref="A13:F13"/>
    <mergeCell ref="A14:F14"/>
    <mergeCell ref="A15:F15"/>
    <mergeCell ref="A16:I16"/>
    <mergeCell ref="A19:C19"/>
    <mergeCell ref="D19:F19"/>
    <mergeCell ref="G19:I19"/>
    <mergeCell ref="A1:K1"/>
    <mergeCell ref="B2:D2"/>
    <mergeCell ref="F2:K2"/>
    <mergeCell ref="B3:D3"/>
    <mergeCell ref="F3:K3"/>
  </mergeCells>
  <conditionalFormatting sqref="G6:G12">
    <cfRule type="expression" dxfId="2" priority="1">
      <formula>AND(ISNUMBER(G6),OR(G6&lt;0,G6&gt;$B6))</formula>
    </cfRule>
  </conditionalFormatting>
  <conditionalFormatting sqref="H6:H12">
    <cfRule type="expression" dxfId="1" priority="2">
      <formula>AND(ISNUMBER(H6),OR(H6&lt;0,H6&gt;$B6))</formula>
    </cfRule>
  </conditionalFormatting>
  <conditionalFormatting sqref="I6:I12">
    <cfRule type="expression" dxfId="0" priority="3">
      <formula>AND(ISNUMBER(I6),OR(I6&lt;0,I6&gt;$B6))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Panel Summary</vt:lpstr>
      <vt:lpstr>Group A</vt:lpstr>
      <vt:lpstr>Group B</vt:lpstr>
      <vt:lpstr>Group C</vt:lpstr>
      <vt:lpstr>Group D</vt:lpstr>
      <vt:lpstr>Group E</vt:lpstr>
      <vt:lpstr>Group F</vt:lpstr>
      <vt:lpstr>Group G</vt:lpstr>
      <vt:lpstr>Group H</vt:lpstr>
      <vt:lpstr>Group I</vt:lpstr>
      <vt:lpstr>Group J</vt:lpstr>
      <vt:lpstr>Group K</vt:lpstr>
      <vt:lpstr>Group L</vt:lpstr>
      <vt:lpstr>Group M</vt:lpstr>
      <vt:lpstr>Group N</vt:lpstr>
      <vt:lpstr>Group O</vt:lpstr>
      <vt:lpstr>Group P</vt:lpstr>
      <vt:lpstr>Group Q</vt:lpstr>
      <vt:lpstr>Group R</vt:lpstr>
      <vt:lpstr>Group S</vt:lpstr>
      <vt:lpstr>Group T</vt:lpstr>
      <vt:lpstr>Group U</vt:lpstr>
      <vt:lpstr>Group V</vt:lpstr>
      <vt:lpstr>Group W</vt:lpstr>
      <vt:lpstr>Group X</vt:lpstr>
      <vt:lpstr>Group Y</vt:lpstr>
      <vt:lpstr>Group 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Mbele Mpho</cp:lastModifiedBy>
  <dcterms:modified xsi:type="dcterms:W3CDTF">2026-09-19T15:48:55Z</dcterms:modified>
</cp:coreProperties>
</file>