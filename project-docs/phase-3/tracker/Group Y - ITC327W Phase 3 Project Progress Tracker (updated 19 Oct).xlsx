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Project Overview" sheetId="2" state="visible" r:id="rId4"/>
    <sheet name="Development Progress" sheetId="3" state="visible" r:id="rId5"/>
    <sheet name="Individual Contributions" sheetId="4" state="visible" r:id="rId6"/>
    <sheet name="Integration Progress" sheetId="5" state="visible" r:id="rId7"/>
    <sheet name="Implementation Evidence" sheetId="6" state="visible" r:id="rId8"/>
    <sheet name="Challenges &amp; Actions" sheetId="7" state="visible" r:id="rId9"/>
    <sheet name="Phase Summary" sheetId="8" state="visible" r:id="rId10"/>
    <sheet name="Group Reflection" sheetId="9" state="visible" r:id="rId11"/>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<sst xmlns="http://schemas.openxmlformats.org/spreadsheetml/2006/main" count="727" uniqueCount="399">
  <si>
    <t xml:space="preserve">ITC327W Phase 3 Project Progress Tracker</t>
  </si>
  <si>
    <t xml:space="preserve">Use this workbook during Phase 3: System Development, Implementation and Final Demonstration. Update it throughout the phase and submit the same workbook with Assessment 3.</t>
  </si>
  <si>
    <t xml:space="preserve">Sheet</t>
  </si>
  <si>
    <t xml:space="preserve">Purpose</t>
  </si>
  <si>
    <t xml:space="preserve">What must be kept current</t>
  </si>
  <si>
    <t xml:space="preserve">Project Overview</t>
  </si>
  <si>
    <t xml:space="preserve">Group details and automatic development summary</t>
  </si>
  <si>
    <t xml:space="preserve">Project details, GitHub link and current Phase 3 progress</t>
  </si>
  <si>
    <t xml:space="preserve">Development Progress</t>
  </si>
  <si>
    <t xml:space="preserve">Track implementation work</t>
  </si>
  <si>
    <t xml:space="preserve">Supabase, Flutter, ASP.NET, integration, SRS, GitHub, Microsoft Project and demonstration preparation</t>
  </si>
  <si>
    <t xml:space="preserve">Individual Contributions</t>
  </si>
  <si>
    <t xml:space="preserve">Record work personally completed by each student</t>
  </si>
  <si>
    <t xml:space="preserve">Activity, responsibility, completed work and evidence</t>
  </si>
  <si>
    <t xml:space="preserve">Integration Progress</t>
  </si>
  <si>
    <t xml:space="preserve">Track important shared processes across the system</t>
  </si>
  <si>
    <t xml:space="preserve">Flutter action, ASP.NET action, shared Supabase information and current working status</t>
  </si>
  <si>
    <t xml:space="preserve">Implementation Evidence</t>
  </si>
  <si>
    <t xml:space="preserve">Record evidence of the working prototype</t>
  </si>
  <si>
    <t xml:space="preserve">Screenshots, recordings, GitHub commits/links and relevant SRS sections</t>
  </si>
  <si>
    <t xml:space="preserve">Challenges &amp; Actions</t>
  </si>
  <si>
    <t xml:space="preserve">Record development/integration challenges and corrective action</t>
  </si>
  <si>
    <t xml:space="preserve">Problem, effect, action, owner, target date and status</t>
  </si>
  <si>
    <t xml:space="preserve">Phase Summary</t>
  </si>
  <si>
    <t xml:space="preserve">Summarise Phase 3 progress</t>
  </si>
  <si>
    <t xml:space="preserve">Completed work, limitations, participation and final readiness</t>
  </si>
  <si>
    <t xml:space="preserve">Group Reflection</t>
  </si>
  <si>
    <t xml:space="preserve">One shared final group reflection</t>
  </si>
  <si>
    <t xml:space="preserve">Development experience, collaboration, challenges and lessons learned</t>
  </si>
  <si>
    <t xml:space="preserve">Important</t>
  </si>
  <si>
    <t xml:space="preserve">Phase 3 does not require a formal test plan, test cases or defect log. Record normal development checks, working functions, integration progress, challenges and corrections as part of implementation. Do not include passwords, API keys or confidential stakeholder/user information.</t>
  </si>
  <si>
    <t xml:space="preserve">Phase 3 Project Overview</t>
  </si>
  <si>
    <t xml:space="preserve">Group</t>
  </si>
  <si>
    <t xml:space="preserve">Group Y (The Zealots)</t>
  </si>
  <si>
    <t xml:space="preserve">Phase 3 Development Summary</t>
  </si>
  <si>
    <t xml:space="preserve">Project Title</t>
  </si>
  <si>
    <t xml:space="preserve">Spanner - Workshop Booking, Stock &amp; Invoicing System</t>
  </si>
  <si>
    <t xml:space="preserve">Total tracked items</t>
  </si>
  <si>
    <t xml:space="preserve">Stakeholder / Organisation</t>
  </si>
  <si>
    <t xml:space="preserve">Riese Auto-Clinic - Michael Riese (Owner/Head Mechanic)</t>
  </si>
  <si>
    <t xml:space="preserve">Completed</t>
  </si>
  <si>
    <t xml:space="preserve">Group Leader</t>
  </si>
  <si>
    <t xml:space="preserve">In Progress</t>
  </si>
  <si>
    <t xml:space="preserve">Number of Group Members</t>
  </si>
  <si>
    <t xml:space="preserve">Blocked</t>
  </si>
  <si>
    <t xml:space="preserve">GitHub Repository Link</t>
  </si>
  <si>
    <t xml:space="preserve">https://github.com/BlackZ3ro/Spanner-Riese-Auto-Clinic</t>
  </si>
  <si>
    <t xml:space="preserve">Average completion</t>
  </si>
  <si>
    <t xml:space="preserve">Reporting Period</t>
  </si>
  <si>
    <t xml:space="preserve">15 Oct - 2 Nov 2026 (last updated 19 Oct 2026)</t>
  </si>
  <si>
    <t xml:space="preserve">Overall Phase Status</t>
  </si>
  <si>
    <t xml:space="preserve">Phase 3 Reminder</t>
  </si>
  <si>
    <t xml:space="preserve">Phase 3 focuses on implementing and demonstrating the integrated prototype. Track the shared Supabase backend, Flutter mobile application, ASP.NET web application, important shared processes, GitHub evidence, Microsoft Project and the final demonstration.</t>
  </si>
  <si>
    <t xml:space="preserve">Phase 3 Development Progress</t>
  </si>
  <si>
    <t xml:space="preserve">Task ID</t>
  </si>
  <si>
    <t xml:space="preserve">Development Area</t>
  </si>
  <si>
    <t xml:space="preserve">Task / Function</t>
  </si>
  <si>
    <t xml:space="preserve">Responsible Student(s)</t>
  </si>
  <si>
    <t xml:space="preserve">Planned Date</t>
  </si>
  <si>
    <t xml:space="preserve">Actual Completion Date</t>
  </si>
  <si>
    <t xml:space="preserve">Status</t>
  </si>
  <si>
    <t xml:space="preserve">% Complete</t>
  </si>
  <si>
    <t xml:space="preserve">Evidence / GitHub Link</t>
  </si>
  <si>
    <t xml:space="preserve">Notes / Action Required</t>
  </si>
  <si>
    <t xml:space="preserve">P3-01</t>
  </si>
  <si>
    <t xml:space="preserve">Supabase Backend</t>
  </si>
  <si>
    <t xml:space="preserve">Required tables, fields, keys and relationships implemented</t>
  </si>
  <si>
    <t xml:space="preserve">Gary van Wyk; Wisani Nkuna</t>
  </si>
  <si>
    <t xml:space="preserve">2026-10-21</t>
  </si>
  <si>
    <t xml:space="preserve">supabase/migrations/0001-0011; project-docs/phase-2/uml-and-erd.md (ERD)</t>
  </si>
  <si>
    <t xml:space="preserve">All tables, keys and database functions live and shared by both apps. Still to run on the live project: 0009, 0004, 0008, 0010, 0011 (Gary). 0006 to be checked with supabase db pull.</t>
  </si>
  <si>
    <t xml:space="preserve">P3-02</t>
  </si>
  <si>
    <t xml:space="preserve">Authentication and access configured where required</t>
  </si>
  <si>
    <t xml:space="preserve">supabase/migrations/0007, 0008, 0011; web/Pages/Account/Login; mobile/lib/features/auth</t>
  </si>
  <si>
    <t xml:space="preserve">Supabase Auth on both apps; admin-only delete enforced in the database (0007). Open: anonymous phase change (0008) and finalize/reopen admin check (0011, written and tested 18 Oct).</t>
  </si>
  <si>
    <t xml:space="preserve">P3-03</t>
  </si>
  <si>
    <t xml:space="preserve">Flutter</t>
  </si>
  <si>
    <t xml:space="preserve">Approved mobile screens and navigation implemented</t>
  </si>
  <si>
    <t xml:space="preserve">Gary van Wyk</t>
  </si>
  <si>
    <t xml:space="preserve">2026-10-24</t>
  </si>
  <si>
    <t xml:space="preserve">2026-09-28</t>
  </si>
  <si>
    <t xml:space="preserve">mobile/lib/features/*/presentation</t>
  </si>
  <si>
    <t xml:space="preserve">Login, home, book-in, bookings list, booking details, stock, customer lookup/status screens on main. Tracking redesign patch (7 Oct) still to apply.</t>
  </si>
  <si>
    <t xml:space="preserve">P3-04</t>
  </si>
  <si>
    <t xml:space="preserve">Main mobile functions connected to Supabase</t>
  </si>
  <si>
    <t xml:space="preserve">2026-10-25</t>
  </si>
  <si>
    <t xml:space="preserve">mobile/lib/features/*/data</t>
  </si>
  <si>
    <t xml:space="preserve">All main functions read/write Supabase. Still to do: Send on WhatsApp, add part through add_booking_part, kIsWeb guard for the web build. No mobile commits on main since 28 Sept.</t>
  </si>
  <si>
    <t xml:space="preserve">P3-05</t>
  </si>
  <si>
    <t xml:space="preserve">ASP.NET</t>
  </si>
  <si>
    <t xml:space="preserve">Approved web pages and navigation implemented</t>
  </si>
  <si>
    <t xml:space="preserve">Wisani Nkuna</t>
  </si>
  <si>
    <t xml:space="preserve">2026-10-16</t>
  </si>
  <si>
    <t xml:space="preserve">web/Pages</t>
  </si>
  <si>
    <t xml:space="preserve">All approved pages and navigation; client colours; public /Track page.</t>
  </si>
  <si>
    <t xml:space="preserve">P3-06</t>
  </si>
  <si>
    <t xml:space="preserve">Main web functions connected to Supabase</t>
  </si>
  <si>
    <t xml:space="preserve">web/Pages, web/Services</t>
  </si>
  <si>
    <t xml:space="preserve">All main functions use Supabase. Open: labour ledger decision, admin role from profiles, logged-in check of phase change and Send on WhatsApp.</t>
  </si>
  <si>
    <t xml:space="preserve">P3-07</t>
  </si>
  <si>
    <t xml:space="preserve">Integration</t>
  </si>
  <si>
    <t xml:space="preserve">Shared Process 1 working across the integrated system</t>
  </si>
  <si>
    <t xml:space="preserve">Wisani Nkuna; Gary van Wyk; Keamogetse Ogone Kgosi (Kea) (recording)</t>
  </si>
  <si>
    <t xml:space="preserve">2026-10-27</t>
  </si>
  <si>
    <t xml:space="preserve">Integration Progress sheet, P1</t>
  </si>
  <si>
    <t xml:space="preserve">Book-in on Flutter appears on the web dashboard; part added on the web shows on Flutter with stock reduced. Built; screen recording to capture.</t>
  </si>
  <si>
    <t xml:space="preserve">P3-08</t>
  </si>
  <si>
    <t xml:space="preserve">Shared Process 2 working across the integrated system</t>
  </si>
  <si>
    <t xml:space="preserve">Integration Progress sheet, P2</t>
  </si>
  <si>
    <t xml:space="preserve">Phase changed on the web (plus WhatsApp) is seen by the customer in Flutter/Track, and the other way round. Needs migration 0008 first.</t>
  </si>
  <si>
    <t xml:space="preserve">P3-09</t>
  </si>
  <si>
    <t xml:space="preserve">Data fields and status values consistent across applications</t>
  </si>
  <si>
    <t xml:space="preserve">Wisani Nkuna; Gary van Wyk</t>
  </si>
  <si>
    <t xml:space="preserve">project-docs/phase-3/unit-4-readiness.md section 4</t>
  </si>
  <si>
    <t xml:space="preserve">Status and phase values match. Open: two labour tables (jobs vs booking_labor), admin role read from two places.</t>
  </si>
  <si>
    <t xml:space="preserve">P3-10</t>
  </si>
  <si>
    <t xml:space="preserve">SRS</t>
  </si>
  <si>
    <t xml:space="preserve">Implementation status, approved changes and known limitations updated</t>
  </si>
  <si>
    <t xml:space="preserve">Wisani Nkuna; Mathye MD (Denny); Ofentse Rammutla</t>
  </si>
  <si>
    <t xml:space="preserve">2026-10-29</t>
  </si>
  <si>
    <t xml:space="preserve">project-docs/phase-3/unit-4-readiness.md</t>
  </si>
  <si>
    <t xml:space="preserve">Readiness tables drafted 18 Oct for the SRS v3.0 implementation section.</t>
  </si>
  <si>
    <t xml:space="preserve">P3-11</t>
  </si>
  <si>
    <t xml:space="preserve">Microsoft Project</t>
  </si>
  <si>
    <t xml:space="preserve">Schedule updated to reflect actual development progress</t>
  </si>
  <si>
    <t xml:space="preserve">Moremi KE (Khumo)</t>
  </si>
  <si>
    <t xml:space="preserve">Not Started</t>
  </si>
  <si>
    <t xml:space="preserve">Add Unit 4 activities 4.1-4.4 and the Phase 3 tasks from this sheet; final screenshot for the SRS.</t>
  </si>
  <si>
    <t xml:space="preserve">P3-12</t>
  </si>
  <si>
    <t xml:space="preserve">GitHub</t>
  </si>
  <si>
    <t xml:space="preserve">Current source code, README and relevant documentation organised</t>
  </si>
  <si>
    <t xml:space="preserve">web/README has setup and Vercel steps. Latest changes uploaded folder by folder (direct push blocked). Mobile README and setup steps to check.</t>
  </si>
  <si>
    <t xml:space="preserve">P3-13</t>
  </si>
  <si>
    <t xml:space="preserve">Final Demonstration</t>
  </si>
  <si>
    <t xml:space="preserve">Prototype and demonstration flow prepared for panel</t>
  </si>
  <si>
    <t xml:space="preserve">Everyone</t>
  </si>
  <si>
    <t xml:space="preserve">2026-10-31</t>
  </si>
  <si>
    <t xml:space="preserve">project-docs/phase-3/unit-4-readiness.md section 9</t>
  </si>
  <si>
    <t xml:space="preserve">Demo flow (P1, P2) defined; rehearsal Sat 31 Oct.</t>
  </si>
  <si>
    <t xml:space="preserve">P3-14</t>
  </si>
  <si>
    <t xml:space="preserve">Send on WhatsApp: reference code and status updates to the customer (Mr G, 16 Oct)</t>
  </si>
  <si>
    <t xml:space="preserve">web/Services/CustomerWhatsApp.cs</t>
  </si>
  <si>
    <t xml:space="preserve">Free click-to-chat link, no API key. Logic checked against 24 cases; booking-page screenshot to capture.</t>
  </si>
  <si>
    <t xml:space="preserve">P3-15</t>
  </si>
  <si>
    <t xml:space="preserve">Send on WhatsApp button in the mobile app</t>
  </si>
  <si>
    <t xml:space="preserve">Gary handoff PDF section 3</t>
  </si>
  <si>
    <t xml:space="preserve">Same link and wording as the web version.</t>
  </si>
  <si>
    <t xml:space="preserve">P3-16</t>
  </si>
  <si>
    <t xml:space="preserve">Run migrations 0009, 0004, 0008, 0010, 0011 and send the check-query results</t>
  </si>
  <si>
    <t xml:space="preserve">supabase/migrations</t>
  </si>
  <si>
    <t xml:space="preserve">Blocks web add part (0009) and P2 (0008).</t>
  </si>
  <si>
    <t xml:space="preserve">P3-17</t>
  </si>
  <si>
    <t xml:space="preserve">Migration 0011: finalize and reopen admin-only in the database</t>
  </si>
  <si>
    <t xml:space="preserve">2026-10-18</t>
  </si>
  <si>
    <t xml:space="preserve">supabase/migrations/0011_finalize_reopen_admin_only.sql</t>
  </si>
  <si>
    <t xml:space="preserve">Tested on a local Postgres: mechanic refused, admin allowed, phase changes unaffected. Gary runs it live (P3-16).</t>
  </si>
  <si>
    <t xml:space="preserve">P3-18</t>
  </si>
  <si>
    <t xml:space="preserve">Revoke the leaked Firebase service-account key</t>
  </si>
  <si>
    <t xml:space="preserve">2026-10-19</t>
  </si>
  <si>
    <t xml:space="preserve">Open since 29 Sept.</t>
  </si>
  <si>
    <t xml:space="preserve">P3-19</t>
  </si>
  <si>
    <t xml:space="preserve">Decide on one labour ledger (jobs vs booking_labor) and move the other app over</t>
  </si>
  <si>
    <t xml:space="preserve">unit-4-readiness.md section 6</t>
  </si>
  <si>
    <t xml:space="preserve">Decision at the Tue 20 Oct meeting. Proposal: keep booking_labor.</t>
  </si>
  <si>
    <t xml:space="preserve">P3-20</t>
  </si>
  <si>
    <t xml:space="preserve">Web reads the admin role from profiles (same as Flutter)</t>
  </si>
  <si>
    <t xml:space="preserve">P3-21</t>
  </si>
  <si>
    <t xml:space="preserve">Web app online on Vercel (riese-auto-clinic.vercel.app)</t>
  </si>
  <si>
    <t xml:space="preserve">2026-10-20</t>
  </si>
  <si>
    <t xml:space="preserve">web/Dockerfile.vercel; project-docs/phase-3/hosting-on-vercel.md</t>
  </si>
  <si>
    <t xml:space="preserve">Project and Dockerfile ready, local Docker build works. Still to add the Supabase settings and deploy.</t>
  </si>
  <si>
    <t xml:space="preserve">P3-22</t>
  </si>
  <si>
    <t xml:space="preserve">Flutter web build online on Vercel</t>
  </si>
  <si>
    <t xml:space="preserve">project-docs/phase-3/hosting-on-vercel.md</t>
  </si>
  <si>
    <t xml:space="preserve">Needs the web platform folder and the kIsWeb guard first.</t>
  </si>
  <si>
    <t xml:space="preserve">P3-23</t>
  </si>
  <si>
    <t xml:space="preserve">Acceptance visit with Michael Riese; Google Business Profile with him</t>
  </si>
  <si>
    <t xml:space="preserve">Mathye MD (Denny)</t>
  </si>
  <si>
    <t xml:space="preserve">project-docs/phase-2/google-business-profile.md</t>
  </si>
  <si>
    <t xml:space="preserve">Book the visit by Tue 20 Oct.</t>
  </si>
  <si>
    <t xml:space="preserve">P3-24</t>
  </si>
  <si>
    <t xml:space="preserve">Screenshots of every web page and Flutter screen; recording of P1 and P2</t>
  </si>
  <si>
    <t xml:space="preserve">Ofentse Rammutla; Breyton Rossouw; Keamogetse Ogone Kgosi (Kea)</t>
  </si>
  <si>
    <t xml:space="preserve">Implementation Evidence sheet</t>
  </si>
  <si>
    <t xml:space="preserve">Dummy data only; no keys or personal data on screen.</t>
  </si>
  <si>
    <t xml:space="preserve">Phase 3 Individual Contributions</t>
  </si>
  <si>
    <t xml:space="preserve">Student Name</t>
  </si>
  <si>
    <t xml:space="preserve">Student Number</t>
  </si>
  <si>
    <t xml:space="preserve">Assigned Responsibility</t>
  </si>
  <si>
    <t xml:space="preserve">Work Personally Completed</t>
  </si>
  <si>
    <t xml:space="preserve">Date Completed</t>
  </si>
  <si>
    <t xml:space="preserve">Hours Spent</t>
  </si>
  <si>
    <t xml:space="preserve">Verified by Group</t>
  </si>
  <si>
    <t xml:space="preserve">Verification Date</t>
  </si>
  <si>
    <t xml:space="preserve">Quality / Review Notes</t>
  </si>
  <si>
    <t xml:space="preserve">Contribution Status</t>
  </si>
  <si>
    <t xml:space="preserve">222010787</t>
  </si>
  <si>
    <t xml:space="preserve">Phase 2 feedback in the web app</t>
  </si>
  <si>
    <t xml:space="preserve">Send on WhatsApp button: reference code at book-in, status updates, thank-you with invoice number (web/Services/CustomerWhatsApp.cs, Pages/Bookings/Details)</t>
  </si>
  <si>
    <t xml:space="preserve">No</t>
  </si>
  <si>
    <t xml:space="preserve">Phase 2 feedback (Mr G: Riese on Google)</t>
  </si>
  <si>
    <t xml:space="preserve">Riese titles and link-preview tags on public pages; Google Business Profile guide for Michael</t>
  </si>
  <si>
    <t xml:space="preserve">Database access rules</t>
  </si>
  <si>
    <t xml:space="preserve">Migration 0010 (bookings.created_by) and 0011 (finalize/reopen admin-only), 0011 tested on a local Postgres</t>
  </si>
  <si>
    <t xml:space="preserve">supabase/migrations/0010, 0011</t>
  </si>
  <si>
    <t xml:space="preserve">Hosting</t>
  </si>
  <si>
    <t xml:space="preserve">Web app prepared for Vercel: Dockerfile.vercel, forwarded headers, Vercel project, hosting plan</t>
  </si>
  <si>
    <t xml:space="preserve">2026-10-17</t>
  </si>
  <si>
    <t xml:space="preserve">Phase 3 coordination</t>
  </si>
  <si>
    <t xml:space="preserve">Unit 4 readiness pack (functions, shared processes, consistency, roles, integration problems), Phase 3 plan, Gary handoff, this tracker</t>
  </si>
  <si>
    <t xml:space="preserve">project-docs/phase-3/</t>
  </si>
  <si>
    <t xml:space="preserve">Phase 3 Shared Process and Integration Progress</t>
  </si>
  <si>
    <t xml:space="preserve">Shared Process</t>
  </si>
  <si>
    <t xml:space="preserve">Related Requirement / Use Case</t>
  </si>
  <si>
    <t xml:space="preserve">Flutter Action</t>
  </si>
  <si>
    <t xml:space="preserve">ASP.NET Action</t>
  </si>
  <si>
    <t xml:space="preserve">Shared Supabase Information</t>
  </si>
  <si>
    <t xml:space="preserve">Current Status</t>
  </si>
  <si>
    <t xml:space="preserve">Evidence / Link</t>
  </si>
  <si>
    <t xml:space="preserve">Notes / Limitation</t>
  </si>
  <si>
    <t xml:space="preserve">P1: Book-in reaches the other app (both directions)</t>
  </si>
  <si>
    <t xml:space="preserve">FR-01, FR-04, FR-09; Book in a vehicle, Update booking</t>
  </si>
  <si>
    <t xml:space="preserve">Staff book in a vehicle; later open it and see the part added on the web, with stock reduced</t>
  </si>
  <si>
    <t xml:space="preserve">Booking appears on the dashboard; staff open it and add a part</t>
  </si>
  <si>
    <t xml:space="preserve">bookings, customers, booking_parts, stock_items, stock_movements</t>
  </si>
  <si>
    <t xml:space="preserve">Recording to capture (Tue 27 Oct)</t>
  </si>
  <si>
    <t xml:space="preserve">Built. Web add part uses a workaround until migration 0009 is run.</t>
  </si>
  <si>
    <t xml:space="preserve">P2: Repair progress reaches the customer</t>
  </si>
  <si>
    <t xml:space="preserve">FR-14, FR-15, FR-16; Track repair status, Update booking phase</t>
  </si>
  <si>
    <t xml:space="preserve">Customer enters the reference code and sees the phase (push on Android); staff can also change the phase</t>
  </si>
  <si>
    <t xml:space="preserve">Staff change the phase and Send on WhatsApp; /Track shows the phase</t>
  </si>
  <si>
    <t xml:space="preserve">bookings.phase, bookings.reference_code, booking_push_tokens</t>
  </si>
  <si>
    <t xml:space="preserve">Built. Migration 0008 must be run first (phase can currently be changed without a login).</t>
  </si>
  <si>
    <t xml:space="preserve">P3: Parts and stock stay in step</t>
  </si>
  <si>
    <t xml:space="preserve">FR-03, FR-04, FR-10</t>
  </si>
  <si>
    <t xml:space="preserve">Mechanic adds a part to a booking; stock drops</t>
  </si>
  <si>
    <t xml:space="preserve">Stock page shows the new quantity; part is on the web invoice</t>
  </si>
  <si>
    <t xml:space="preserve">booking_parts, stock_items, stock_movements</t>
  </si>
  <si>
    <t xml:space="preserve">Mobile adds a part with three separate calls (not all-or-nothing); to switch to add_booking_part.</t>
  </si>
  <si>
    <t xml:space="preserve">P4: Admin closes the job</t>
  </si>
  <si>
    <t xml:space="preserve">FR-07, FR-17</t>
  </si>
  <si>
    <t xml:space="preserve">Booking shows as closed; customer sees "Finalized"</t>
  </si>
  <si>
    <t xml:space="preserve">Admin finalizes the booking; invoice PDF</t>
  </si>
  <si>
    <t xml:space="preserve">bookings.status, bookings.phase, bookings.closed_at</t>
  </si>
  <si>
    <t xml:space="preserve">Same values in both apps. Admin-only rule enforced in the database once 0011 is run.</t>
  </si>
  <si>
    <t xml:space="preserve">Phase 3 Implementation Evidence</t>
  </si>
  <si>
    <t xml:space="preserve">Evidence ID</t>
  </si>
  <si>
    <t xml:space="preserve">Application / Area</t>
  </si>
  <si>
    <t xml:space="preserve">Function / Feature</t>
  </si>
  <si>
    <t xml:space="preserve">Evidence Type</t>
  </si>
  <si>
    <t xml:space="preserve">Evidence / Link / File</t>
  </si>
  <si>
    <t xml:space="preserve">Related SRS Requirement</t>
  </si>
  <si>
    <t xml:space="preserve">Responsible Student</t>
  </si>
  <si>
    <t xml:space="preserve">Notes</t>
  </si>
  <si>
    <t xml:space="preserve">E-01</t>
  </si>
  <si>
    <t xml:space="preserve">Send on WhatsApp</t>
  </si>
  <si>
    <t xml:space="preserve">GitHub Commit/PR</t>
  </si>
  <si>
    <t xml:space="preserve">web/Services/CustomerWhatsApp.cs; web/Pages/Bookings/Details.cshtml</t>
  </si>
  <si>
    <t xml:space="preserve">Mr G feedback, FR-14</t>
  </si>
  <si>
    <t xml:space="preserve">Phone, message and link logic checked against 24 cases. Booking-page screenshot still to capture.</t>
  </si>
  <si>
    <t xml:space="preserve">E-02</t>
  </si>
  <si>
    <t xml:space="preserve">Finalize/reopen admin-only (0011)</t>
  </si>
  <si>
    <t xml:space="preserve">FR-17</t>
  </si>
  <si>
    <t xml:space="preserve">Tested on a local Postgres 18 Oct; live result to add after Gary runs it.</t>
  </si>
  <si>
    <t xml:space="preserve">E-03</t>
  </si>
  <si>
    <t xml:space="preserve">Functions, shared processes, consistency and roles tables</t>
  </si>
  <si>
    <t xml:space="preserve">SRS Section</t>
  </si>
  <si>
    <t xml:space="preserve">FR-01 to FR-18</t>
  </si>
  <si>
    <t xml:space="preserve">To be copied into the SRS v3.0 implementation section.</t>
  </si>
  <si>
    <t xml:space="preserve">E-04</t>
  </si>
  <si>
    <t xml:space="preserve">Web app hosting on Vercel</t>
  </si>
  <si>
    <t xml:space="preserve">NFR-06</t>
  </si>
  <si>
    <t xml:space="preserve">Local Docker build serves login and /Track. Live address to add after deploy.</t>
  </si>
  <si>
    <t xml:space="preserve">E-05</t>
  </si>
  <si>
    <t xml:space="preserve">Screenshots of every web page</t>
  </si>
  <si>
    <t xml:space="preserve">Screenshot</t>
  </si>
  <si>
    <t xml:space="preserve">Pending (due Sun 25 Oct)</t>
  </si>
  <si>
    <t xml:space="preserve">Ofentse Rammutla</t>
  </si>
  <si>
    <t xml:space="preserve">Dummy data only.</t>
  </si>
  <si>
    <t xml:space="preserve">E-06</t>
  </si>
  <si>
    <t xml:space="preserve">Screenshots of every mobile screen</t>
  </si>
  <si>
    <t xml:space="preserve">Breyton Rossouw</t>
  </si>
  <si>
    <t xml:space="preserve">E-07</t>
  </si>
  <si>
    <t xml:space="preserve">Recording of shared processes P1 and P2</t>
  </si>
  <si>
    <t xml:space="preserve">Short Recording</t>
  </si>
  <si>
    <t xml:space="preserve">Pending (due Tue 27 Oct)</t>
  </si>
  <si>
    <t xml:space="preserve">FR-01, FR-14, FR-15</t>
  </si>
  <si>
    <t xml:space="preserve">Keamogetse Ogone Kgosi (Kea)</t>
  </si>
  <si>
    <t xml:space="preserve">Phone and laptop side by side.</t>
  </si>
  <si>
    <t xml:space="preserve">E-08</t>
  </si>
  <si>
    <t xml:space="preserve">Table Editor before/after the demo booking; check-query results</t>
  </si>
  <si>
    <t xml:space="preserve">Supabase Evidence</t>
  </si>
  <si>
    <t xml:space="preserve">Pending (due Tue 27 Oct; queries Wed 21 Oct)</t>
  </si>
  <si>
    <t xml:space="preserve">NFR-04, NFR-05</t>
  </si>
  <si>
    <t xml:space="preserve">Hide keys and personal data.</t>
  </si>
  <si>
    <t xml:space="preserve">E-09</t>
  </si>
  <si>
    <t xml:space="preserve">Schedule with Unit 4 tasks</t>
  </si>
  <si>
    <t xml:space="preserve">Pending (due Thu 29 Oct)</t>
  </si>
  <si>
    <t xml:space="preserve">-</t>
  </si>
  <si>
    <t xml:space="preserve">Phase 3 Challenges and Corrective Actions</t>
  </si>
  <si>
    <t xml:space="preserve">Date Identified</t>
  </si>
  <si>
    <t xml:space="preserve">Development / Integration Challenge</t>
  </si>
  <si>
    <t xml:space="preserve">Effect on Progress or Function</t>
  </si>
  <si>
    <t xml:space="preserve">Action Taken / Required</t>
  </si>
  <si>
    <t xml:space="preserve">Target Date</t>
  </si>
  <si>
    <t xml:space="preserve">Resolved Date</t>
  </si>
  <si>
    <t xml:space="preserve">Notes / Known Limitation</t>
  </si>
  <si>
    <t xml:space="preserve">2026-10-08</t>
  </si>
  <si>
    <t xml:space="preserve">Web "Add part" fails (error 42804): old text version of add_booking_part still in the database</t>
  </si>
  <si>
    <t xml:space="preserve">Web cannot use the database function for parts</t>
  </si>
  <si>
    <t xml:space="preserve">Run migrations 0009 then 0004; web uses a temporary workaround meanwhile</t>
  </si>
  <si>
    <t xml:space="preserve">2026-10-07</t>
  </si>
  <si>
    <t xml:space="preserve">update_booking_phase runs without a login</t>
  </si>
  <si>
    <t xml:space="preserve">Anyone with a booking id could change its phase and see customer details</t>
  </si>
  <si>
    <t xml:space="preserve">Run migration 0008 (staff functions signed-in only)</t>
  </si>
  <si>
    <t xml:space="preserve">Blocks shared process P2.</t>
  </si>
  <si>
    <t xml:space="preserve">2026-09-17</t>
  </si>
  <si>
    <t xml:space="preserve">Two labour tables: Flutter writes booking_labor, web writes jobs</t>
  </si>
  <si>
    <t xml:space="preserve">Web and mobile invoices can show different labour totals</t>
  </si>
  <si>
    <t xml:space="preserve">Decide one ledger at the 20 Oct meeting; move the other app over</t>
  </si>
  <si>
    <t xml:space="preserve">Proposal: keep booking_labor.</t>
  </si>
  <si>
    <t xml:space="preserve">Admin role read from two places (web email list, Flutter profiles.role)</t>
  </si>
  <si>
    <t xml:space="preserve">A person could be admin in one app and not the other</t>
  </si>
  <si>
    <t xml:space="preserve">Web reads profiles.role</t>
  </si>
  <si>
    <t xml:space="preserve">Finalize and reopen were blocked only by hidden buttons</t>
  </si>
  <si>
    <t xml:space="preserve">Access rule not enforced by the database</t>
  </si>
  <si>
    <t xml:space="preserve">Migration 0011 written and tested; Gary to run it</t>
  </si>
  <si>
    <t xml:space="preserve">2026-09-25</t>
  </si>
  <si>
    <t xml:space="preserve">Flutter adds a part with three separate calls</t>
  </si>
  <si>
    <t xml:space="preserve">If one call fails, stock can be wrong</t>
  </si>
  <si>
    <t xml:space="preserve">Switch Flutter to add_booking_part</t>
  </si>
  <si>
    <t xml:space="preserve">Push notification setup throws in the Flutter web build</t>
  </si>
  <si>
    <t xml:space="preserve">Customer lookup fails on the web version</t>
  </si>
  <si>
    <t xml:space="preserve">Add a kIsWeb check before push setup</t>
  </si>
  <si>
    <t xml:space="preserve">Push stays Android only.</t>
  </si>
  <si>
    <t xml:space="preserve">2026-09-29</t>
  </si>
  <si>
    <t xml:space="preserve">Firebase service-account key was committed to GitHub</t>
  </si>
  <si>
    <t xml:space="preserve">Key could be misused</t>
  </si>
  <si>
    <t xml:space="preserve">Revoke the key in Google Cloud</t>
  </si>
  <si>
    <t xml:space="preserve">File removed from the repo 28 Sept; key still valid until revoked.</t>
  </si>
  <si>
    <t xml:space="preserve">Flutter does not live-update (no Realtime subscriptions)</t>
  </si>
  <si>
    <t xml:space="preserve">Flutter needs a refresh to see web changes</t>
  </si>
  <si>
    <t xml:space="preserve">Accepted: the Unit 4 notes allow a refresh unless real-time is a requirement</t>
  </si>
  <si>
    <t xml:space="preserve">Known limitation; the web dashboard does live-reload.</t>
  </si>
  <si>
    <t xml:space="preserve">2026-10-14</t>
  </si>
  <si>
    <t xml:space="preserve">No mobile changes on GitHub main since 28 Sept</t>
  </si>
  <si>
    <t xml:space="preserve">Mobile fixes and the WhatsApp button are not in the repo yet</t>
  </si>
  <si>
    <t xml:space="preserve">Handoff PDF with exact steps; check-in at the 20 Oct meeting</t>
  </si>
  <si>
    <t xml:space="preserve">Latest changes could not be pushed to GitHub directly</t>
  </si>
  <si>
    <t xml:space="preserve">Repository behind the working version</t>
  </si>
  <si>
    <t xml:space="preserve">Uploaded folder by folder through GitHub web</t>
  </si>
  <si>
    <t xml:space="preserve">Phase 2 files were uploaded to the Assessment 3 slot on eThuto (0 attempts left)</t>
  </si>
  <si>
    <t xml:space="preserve">Group cannot upload Phase 3 until the attempt is reset</t>
  </si>
  <si>
    <t xml:space="preserve">Email Ms Mbele: move the files to Assessment 2 and reset the Assessment 3 attempt</t>
  </si>
  <si>
    <t xml:space="preserve">2026-10-23</t>
  </si>
  <si>
    <t xml:space="preserve">Vercel container hosting is a beta and sleeps after 5 idle minutes</t>
  </si>
  <si>
    <t xml:space="preserve">First page after a quiet spell is slow; staff may need to log in again</t>
  </si>
  <si>
    <t xml:space="preserve">Open the site 2 minutes before the demo; laptop version as back-up</t>
  </si>
  <si>
    <t xml:space="preserve">Known limitation.</t>
  </si>
  <si>
    <t xml:space="preserve">Phase 3 Progress Summary</t>
  </si>
  <si>
    <t xml:space="preserve">15 Oct - 2 Nov 2026 (updated 19 Oct)</t>
  </si>
  <si>
    <t xml:space="preserve">Phase 3 Completion Checklist</t>
  </si>
  <si>
    <t xml:space="preserve">Complete?</t>
  </si>
  <si>
    <t xml:space="preserve">Shared Supabase backend implemented</t>
  </si>
  <si>
    <t xml:space="preserve">What was completed during Phase 3?</t>
  </si>
  <si>
    <t xml:space="preserve">Both apps already run on one shared Supabase project with the main functions built (Phases 1-2). Since 15 Oct: Send on WhatsApp in the web app, Riese titles for Google, migrations 0010 and 0011, web app prepared for Vercel, Unit 4 readiness pack mapping every function and shared process.</t>
  </si>
  <si>
    <t xml:space="preserve">Main Flutter functions working</t>
  </si>
  <si>
    <t xml:space="preserve">Yes</t>
  </si>
  <si>
    <t xml:space="preserve">Which functions or processes remain incomplete?</t>
  </si>
  <si>
    <t xml:space="preserve">Migrations 0009/0004/0008/0010/0011 to run on the live project; Flutter WhatsApp button, add part through add_booking_part and web build; one labour ledger; web admin role from profiles; evidence (screenshots, P1/P2 recording); SRS implementation section; MS Project.</t>
  </si>
  <si>
    <t xml:space="preserve">Main ASP.NET functions working</t>
  </si>
  <si>
    <t xml:space="preserve">What known limitations remain?</t>
  </si>
  <si>
    <t xml:space="preserve">Flutter has no live updates (refresh needed); push notifications Android only; Vercel container sleeps when idle; labour recorded in two tables until the 20 Oct decision.</t>
  </si>
  <si>
    <t xml:space="preserve">At least two shared processes working</t>
  </si>
  <si>
    <t xml:space="preserve">Which contributions were particularly important?</t>
  </si>
  <si>
    <t xml:space="preserve">Gary: the Flutter app and the database. Wisani: web app, WhatsApp, access-rule migrations and hosting.</t>
  </si>
  <si>
    <t xml:space="preserve">Integration progress recorded</t>
  </si>
  <si>
    <t xml:space="preserve">Were there participation concerns?</t>
  </si>
  <si>
    <t xml:space="preserve">No mobile changes on GitHub since 28 Sept; contributions from Kea, Khumo, Denny, Ofentse and Breyton for Phase 3 are planned but not yet recorded.</t>
  </si>
  <si>
    <t xml:space="preserve">Implementation evidence recorded</t>
  </si>
  <si>
    <t xml:space="preserve">Is the prototype ready for the final demonstration?</t>
  </si>
  <si>
    <t xml:space="preserve">SRS updated</t>
  </si>
  <si>
    <t xml:space="preserve">Main priority before final presentation</t>
  </si>
  <si>
    <t xml:space="preserve">Run the database migrations, finish the Flutter changes, then record P1 and P2 working end to end on the live system.</t>
  </si>
  <si>
    <t xml:space="preserve">Microsoft Project updated</t>
  </si>
  <si>
    <t xml:space="preserve">GitHub current</t>
  </si>
  <si>
    <t xml:space="preserve">Individual contributions recorded</t>
  </si>
  <si>
    <t xml:space="preserve">Challenges/actions updated</t>
  </si>
  <si>
    <t xml:space="preserve">Known limitations recorded</t>
  </si>
  <si>
    <t xml:space="preserve">Group reflection completed</t>
  </si>
  <si>
    <t xml:space="preserve">Final demonstration prepared</t>
  </si>
  <si>
    <t xml:space="preserve">Phase 3 Group Reflection</t>
  </si>
  <si>
    <t xml:space="preserve">1. What did the group complete successfully during development and implementation?</t>
  </si>
  <si>
    <t xml:space="preserve">2. Which development or integration challenges were the most difficult, and how were they addressed?</t>
  </si>
  <si>
    <t xml:space="preserve">3. How did the group ensure that Flutter and ASP.NET worked with the same Supabase backend?</t>
  </si>
  <si>
    <t xml:space="preserve">4. How was development work divided among group members, and was participation balanced?</t>
  </si>
  <si>
    <t xml:space="preserve">5. Which parts of the prototype are strongest, and which limitations remain?</t>
  </si>
  <si>
    <t xml:space="preserve">6. What did the group learn from developing and integrating the prototype?</t>
  </si>
  <si>
    <t xml:space="preserve">7. What would the group improve if the project continued beyond the final assessment?</t>
  </si>
</sst>
</file>

<file path=xl/styles.xml><?xml version="1.0" encoding="utf-8"?>
<styleSheet xmlns="http://schemas.openxmlformats.org/spreadsheetml/2006/main">
  <numFmts count="3">
    <numFmt numFmtId="164" formatCode="General"/>
    <numFmt numFmtId="165" formatCode="General"/>
    <numFmt numFmtId="166" formatCode="0%"/>
  </numFmts>
  <fonts count="8">
    <font>
      <sz val="10"/>
      <name val="Arial"/>
      <family val="2"/>
    </font>
    <font>
      <sz val="10"/>
      <name val="Arial"/>
      <family val="0"/>
    </font>
    <font>
      <sz val="10"/>
      <name val="Arial"/>
      <family val="0"/>
    </font>
    <font>
      <sz val="10"/>
      <name val="Arial"/>
      <family val="0"/>
    </font>
    <font>
      <sz val="11"/>
      <name val="Calibri"/>
      <family val="0"/>
      <charset val="1"/>
    </font>
    <font>
      <b val="true"/>
      <sz val="15"/>
      <color rgb="FFFFFFFF"/>
      <name val="Calibri"/>
      <family val="0"/>
      <charset val="1"/>
    </font>
    <font>
      <b val="true"/>
      <sz val="11"/>
      <color rgb="FFFFFFFF"/>
      <name val="Calibri"/>
      <family val="0"/>
      <charset val="1"/>
    </font>
    <font>
      <b val="true"/>
      <sz val="11"/>
      <name val="Calibri"/>
      <family val="0"/>
      <charset val="1"/>
    </font>
  </fonts>
  <fills count="7">
    <fill>
      <patternFill patternType="none"/>
    </fill>
    <fill>
      <patternFill patternType="gray125"/>
    </fill>
    <fill>
      <patternFill patternType="solid">
        <fgColor rgb="FF17365D"/>
        <bgColor rgb="FF333333"/>
      </patternFill>
    </fill>
    <fill>
      <patternFill patternType="solid">
        <fgColor rgb="FFF3F6FA"/>
        <bgColor rgb="FFFFFFFF"/>
      </patternFill>
    </fill>
    <fill>
      <patternFill patternType="solid">
        <fgColor rgb="FFD9EAF7"/>
        <bgColor rgb="FFE2F0D9"/>
      </patternFill>
    </fill>
    <fill>
      <patternFill patternType="solid">
        <fgColor rgb="FFFFF2CC"/>
        <bgColor rgb="FFE2F0D9"/>
      </patternFill>
    </fill>
    <fill>
      <patternFill patternType="solid">
        <fgColor rgb="FFE2F0D9"/>
        <bgColor rgb="FFD9EAF7"/>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center" textRotation="0" wrapText="false" indent="0" shrinkToFit="false"/>
      <protection locked="true" hidden="false"/>
    </xf>
    <xf numFmtId="164" fontId="4" fillId="3" borderId="0" xfId="20" applyFont="true" applyBorder="true" applyAlignment="true" applyProtection="false">
      <alignment horizontal="general" vertical="bottom" textRotation="0" wrapText="true" indent="0" shrinkToFit="false"/>
      <protection locked="true" hidden="false"/>
    </xf>
    <xf numFmtId="164" fontId="6" fillId="2" borderId="0" xfId="20" applyFont="true" applyBorder="true" applyAlignment="true" applyProtection="false">
      <alignment horizontal="center" vertical="center" textRotation="0" wrapText="tru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6" fillId="2" borderId="0" xfId="20" applyFont="true" applyBorder="true" applyAlignment="false" applyProtection="false">
      <alignment horizontal="general" vertical="bottom" textRotation="0" wrapText="false" indent="0" shrinkToFit="false"/>
      <protection locked="true" hidden="false"/>
    </xf>
    <xf numFmtId="164" fontId="4" fillId="3" borderId="0" xfId="20" applyFont="true" applyBorder="true" applyAlignment="true" applyProtection="false">
      <alignment horizontal="general" vertical="top" textRotation="0" wrapText="true" indent="0" shrinkToFit="false"/>
      <protection locked="true" hidden="false"/>
    </xf>
    <xf numFmtId="164" fontId="7" fillId="4" borderId="0" xfId="20" applyFont="true" applyBorder="true" applyAlignment="true" applyProtection="false">
      <alignment horizontal="general" vertical="bottom" textRotation="0" wrapText="true" indent="0" shrinkToFit="false"/>
      <protection locked="true" hidden="false"/>
    </xf>
    <xf numFmtId="164" fontId="4" fillId="5" borderId="0" xfId="20" applyFont="true" applyBorder="true" applyAlignment="true" applyProtection="false">
      <alignment horizontal="general" vertical="top" textRotation="0" wrapText="true" indent="0" shrinkToFit="false"/>
      <protection locked="true" hidden="false"/>
    </xf>
    <xf numFmtId="164" fontId="6" fillId="2" borderId="0" xfId="20" applyFont="true" applyBorder="true" applyAlignment="true" applyProtection="false">
      <alignment horizontal="center" vertical="bottom" textRotation="0" wrapText="false" indent="0" shrinkToFit="false"/>
      <protection locked="true" hidden="false"/>
    </xf>
    <xf numFmtId="164" fontId="7" fillId="4" borderId="0" xfId="20" applyFont="true" applyBorder="true" applyAlignment="false" applyProtection="false">
      <alignment horizontal="general" vertical="bottom" textRotation="0" wrapText="false" indent="0" shrinkToFit="false"/>
      <protection locked="true" hidden="false"/>
    </xf>
    <xf numFmtId="165" fontId="7" fillId="6" borderId="0" xfId="20" applyFont="true" applyBorder="true" applyAlignment="true" applyProtection="false">
      <alignment horizontal="center" vertical="bottom" textRotation="0" wrapText="false" indent="0" shrinkToFit="false"/>
      <protection locked="true" hidden="false"/>
    </xf>
    <xf numFmtId="166" fontId="7" fillId="6" borderId="0" xfId="20" applyFont="true" applyBorder="true" applyAlignment="true" applyProtection="false">
      <alignment horizontal="center" vertical="bottom" textRotation="0" wrapText="false" indent="0" shrinkToFit="false"/>
      <protection locked="true" hidden="false"/>
    </xf>
    <xf numFmtId="166" fontId="4" fillId="5" borderId="0" xfId="20" applyFont="false" applyBorder="true" applyAlignment="true" applyProtection="false">
      <alignment horizontal="general" vertical="top" textRotation="0" wrapText="true" indent="0" shrinkToFit="false"/>
      <protection locked="true" hidden="false"/>
    </xf>
    <xf numFmtId="164" fontId="4" fillId="5" borderId="0" xfId="20" applyFont="fals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2">
    <dxf>
      <fill>
        <patternFill>
          <bgColor rgb="FFE2F0D9"/>
        </patternFill>
      </fill>
    </dxf>
    <dxf>
      <fill>
        <patternFill>
          <bgColor rgb="FFF4CC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3F6FA"/>
      <rgbColor rgb="FFE2F0D9"/>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17365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2"/>
    <col collapsed="false" customWidth="true" hidden="false" outlineLevel="0" max="3" min="3" style="0" width="52"/>
    <col collapsed="false" customWidth="true" hidden="false" outlineLevel="0" max="6" min="4" style="0" width="14"/>
  </cols>
  <sheetData>
    <row r="1" customFormat="false" ht="33.75" hidden="false" customHeight="true" outlineLevel="0" collapsed="false">
      <c r="A1" s="1" t="s">
        <v>0</v>
      </c>
      <c r="B1" s="1"/>
      <c r="C1" s="1"/>
      <c r="D1" s="1"/>
      <c r="E1" s="1"/>
      <c r="F1" s="1"/>
    </row>
    <row r="2" customFormat="false" ht="33.75" hidden="false" customHeight="true" outlineLevel="0" collapsed="false">
      <c r="A2" s="2" t="s">
        <v>1</v>
      </c>
      <c r="B2" s="2"/>
      <c r="C2" s="2"/>
      <c r="D2" s="2"/>
      <c r="E2" s="2"/>
      <c r="F2" s="2"/>
    </row>
    <row r="4" customFormat="false" ht="30" hidden="false" customHeight="true" outlineLevel="0" collapsed="false">
      <c r="A4" s="3" t="s">
        <v>2</v>
      </c>
      <c r="B4" s="3" t="s">
        <v>3</v>
      </c>
      <c r="C4" s="3" t="s">
        <v>4</v>
      </c>
    </row>
    <row r="5" customFormat="false" ht="42" hidden="false" customHeight="true" outlineLevel="0" collapsed="false">
      <c r="A5" s="4" t="s">
        <v>5</v>
      </c>
      <c r="B5" s="4" t="s">
        <v>6</v>
      </c>
      <c r="C5" s="4" t="s">
        <v>7</v>
      </c>
    </row>
    <row r="6" customFormat="false" ht="42" hidden="false" customHeight="true" outlineLevel="0" collapsed="false">
      <c r="A6" s="4" t="s">
        <v>8</v>
      </c>
      <c r="B6" s="4" t="s">
        <v>9</v>
      </c>
      <c r="C6" s="4" t="s">
        <v>10</v>
      </c>
    </row>
    <row r="7" customFormat="false" ht="42" hidden="false" customHeight="true" outlineLevel="0" collapsed="false">
      <c r="A7" s="4" t="s">
        <v>11</v>
      </c>
      <c r="B7" s="4" t="s">
        <v>12</v>
      </c>
      <c r="C7" s="4" t="s">
        <v>13</v>
      </c>
    </row>
    <row r="8" customFormat="false" ht="42" hidden="false" customHeight="true" outlineLevel="0" collapsed="false">
      <c r="A8" s="4" t="s">
        <v>14</v>
      </c>
      <c r="B8" s="4" t="s">
        <v>15</v>
      </c>
      <c r="C8" s="4" t="s">
        <v>16</v>
      </c>
    </row>
    <row r="9" customFormat="false" ht="42" hidden="false" customHeight="true" outlineLevel="0" collapsed="false">
      <c r="A9" s="4" t="s">
        <v>17</v>
      </c>
      <c r="B9" s="4" t="s">
        <v>18</v>
      </c>
      <c r="C9" s="4" t="s">
        <v>19</v>
      </c>
    </row>
    <row r="10" customFormat="false" ht="42" hidden="false" customHeight="true" outlineLevel="0" collapsed="false">
      <c r="A10" s="4" t="s">
        <v>20</v>
      </c>
      <c r="B10" s="4" t="s">
        <v>21</v>
      </c>
      <c r="C10" s="4" t="s">
        <v>22</v>
      </c>
    </row>
    <row r="11" customFormat="false" ht="42" hidden="false" customHeight="true" outlineLevel="0" collapsed="false">
      <c r="A11" s="4" t="s">
        <v>23</v>
      </c>
      <c r="B11" s="4" t="s">
        <v>24</v>
      </c>
      <c r="C11" s="4" t="s">
        <v>25</v>
      </c>
    </row>
    <row r="12" customFormat="false" ht="42" hidden="false" customHeight="true" outlineLevel="0" collapsed="false">
      <c r="A12" s="4" t="s">
        <v>26</v>
      </c>
      <c r="B12" s="4" t="s">
        <v>27</v>
      </c>
      <c r="C12" s="4" t="s">
        <v>28</v>
      </c>
    </row>
    <row r="14" customFormat="false" ht="15" hidden="false" customHeight="false" outlineLevel="0" collapsed="false">
      <c r="A14" s="5" t="s">
        <v>29</v>
      </c>
      <c r="B14" s="5"/>
      <c r="C14" s="5"/>
      <c r="D14" s="5"/>
      <c r="E14" s="5"/>
      <c r="F14" s="5"/>
    </row>
    <row r="15" customFormat="false" ht="15" hidden="false" customHeight="true" outlineLevel="0" collapsed="false">
      <c r="A15" s="6" t="s">
        <v>30</v>
      </c>
      <c r="B15" s="6"/>
      <c r="C15" s="6"/>
      <c r="D15" s="6"/>
      <c r="E15" s="6"/>
      <c r="F15" s="6"/>
    </row>
    <row r="16" customFormat="false" ht="15" hidden="false" customHeight="false" outlineLevel="0" collapsed="false">
      <c r="A16" s="6"/>
      <c r="B16" s="6"/>
      <c r="C16" s="6"/>
      <c r="D16" s="6"/>
      <c r="E16" s="6"/>
      <c r="F16" s="6"/>
    </row>
    <row r="17" customFormat="false" ht="15" hidden="false" customHeight="false" outlineLevel="0" collapsed="false">
      <c r="A17" s="6"/>
      <c r="B17" s="6"/>
      <c r="C17" s="6"/>
      <c r="D17" s="6"/>
      <c r="E17" s="6"/>
      <c r="F17" s="6"/>
    </row>
    <row r="18" customFormat="false" ht="15" hidden="false" customHeight="false" outlineLevel="0" collapsed="false">
      <c r="A18" s="6"/>
      <c r="B18" s="6"/>
      <c r="C18" s="6"/>
      <c r="D18" s="6"/>
      <c r="E18" s="6"/>
      <c r="F18" s="6"/>
    </row>
    <row r="19" customFormat="false" ht="15" hidden="false" customHeight="false" outlineLevel="0" collapsed="false">
      <c r="A19" s="6"/>
      <c r="B19" s="6"/>
      <c r="C19" s="6"/>
      <c r="D19" s="6"/>
      <c r="E19" s="6"/>
      <c r="F19" s="6"/>
    </row>
  </sheetData>
  <mergeCells count="4">
    <mergeCell ref="A1:F1"/>
    <mergeCell ref="A2:F2"/>
    <mergeCell ref="A14:F14"/>
    <mergeCell ref="A15:F1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2" min="2" style="0" width="38"/>
    <col collapsed="false" customWidth="true" hidden="false" outlineLevel="0" max="3" min="3" style="0" width="4"/>
    <col collapsed="false" customWidth="true" hidden="false" outlineLevel="0" max="4" min="4" style="0" width="25"/>
    <col collapsed="false" customWidth="true" hidden="false" outlineLevel="0" max="5" min="5" style="0" width="18"/>
    <col collapsed="false" customWidth="true" hidden="false" outlineLevel="0" max="8" min="6" style="0" width="16"/>
  </cols>
  <sheetData>
    <row r="1" customFormat="false" ht="33.75" hidden="false" customHeight="true" outlineLevel="0" collapsed="false">
      <c r="A1" s="1" t="s">
        <v>31</v>
      </c>
      <c r="B1" s="1"/>
      <c r="C1" s="1"/>
      <c r="D1" s="1"/>
      <c r="E1" s="1"/>
      <c r="F1" s="1"/>
      <c r="G1" s="1"/>
      <c r="H1" s="1"/>
    </row>
    <row r="3" customFormat="false" ht="15" hidden="false" customHeight="false" outlineLevel="0" collapsed="false">
      <c r="A3" s="7" t="s">
        <v>32</v>
      </c>
      <c r="B3" s="8" t="s">
        <v>33</v>
      </c>
      <c r="D3" s="9" t="s">
        <v>34</v>
      </c>
      <c r="E3" s="9"/>
      <c r="F3" s="9"/>
      <c r="G3" s="9"/>
      <c r="H3" s="9"/>
    </row>
    <row r="4" customFormat="false" ht="28.35" hidden="false" customHeight="false" outlineLevel="0" collapsed="false">
      <c r="A4" s="7" t="s">
        <v>35</v>
      </c>
      <c r="B4" s="8" t="s">
        <v>36</v>
      </c>
      <c r="D4" s="10" t="s">
        <v>37</v>
      </c>
      <c r="E4" s="11" t="n">
        <f aca="false">COUNTA('Development Progress'!A4:A33)</f>
        <v>24</v>
      </c>
    </row>
    <row r="5" customFormat="false" ht="28.35" hidden="false" customHeight="false" outlineLevel="0" collapsed="false">
      <c r="A5" s="7" t="s">
        <v>38</v>
      </c>
      <c r="B5" s="8" t="s">
        <v>39</v>
      </c>
      <c r="D5" s="10" t="s">
        <v>40</v>
      </c>
      <c r="E5" s="11" t="n">
        <f aca="false">COUNTIF('Development Progress'!G4:G33,"Completed")</f>
        <v>4</v>
      </c>
    </row>
    <row r="6" customFormat="false" ht="15" hidden="false" customHeight="false" outlineLevel="0" collapsed="false">
      <c r="A6" s="7" t="s">
        <v>41</v>
      </c>
      <c r="B6" s="8"/>
      <c r="D6" s="10" t="s">
        <v>42</v>
      </c>
      <c r="E6" s="11" t="n">
        <f aca="false">COUNTIF('Development Progress'!G4:G33,"In Progress")</f>
        <v>11</v>
      </c>
    </row>
    <row r="7" customFormat="false" ht="15" hidden="false" customHeight="false" outlineLevel="0" collapsed="false">
      <c r="A7" s="7" t="s">
        <v>43</v>
      </c>
      <c r="B7" s="8" t="n">
        <v>7</v>
      </c>
      <c r="D7" s="10" t="s">
        <v>44</v>
      </c>
      <c r="E7" s="11" t="n">
        <f aca="false">COUNTIF('Development Progress'!G4:G33,"Blocked")</f>
        <v>0</v>
      </c>
    </row>
    <row r="8" customFormat="false" ht="28.35" hidden="false" customHeight="false" outlineLevel="0" collapsed="false">
      <c r="A8" s="7" t="s">
        <v>45</v>
      </c>
      <c r="B8" s="8" t="s">
        <v>46</v>
      </c>
      <c r="D8" s="10" t="s">
        <v>47</v>
      </c>
      <c r="E8" s="12" t="n">
        <f aca="false">IFERROR(AVERAGE('Development Progress'!H4:H33),0)</f>
        <v>0.460416666666667</v>
      </c>
    </row>
    <row r="9" customFormat="false" ht="28.35" hidden="false" customHeight="false" outlineLevel="0" collapsed="false">
      <c r="A9" s="7" t="s">
        <v>48</v>
      </c>
      <c r="B9" s="8" t="s">
        <v>49</v>
      </c>
    </row>
    <row r="10" customFormat="false" ht="15" hidden="false" customHeight="false" outlineLevel="0" collapsed="false">
      <c r="A10" s="7" t="s">
        <v>50</v>
      </c>
      <c r="B10" s="8" t="s">
        <v>42</v>
      </c>
      <c r="D10" s="5" t="s">
        <v>51</v>
      </c>
      <c r="E10" s="5"/>
      <c r="F10" s="5"/>
      <c r="G10" s="5"/>
      <c r="H10" s="5"/>
    </row>
    <row r="11" customFormat="false" ht="15" hidden="false" customHeight="true" outlineLevel="0" collapsed="false">
      <c r="D11" s="6" t="s">
        <v>52</v>
      </c>
      <c r="E11" s="6"/>
      <c r="F11" s="6"/>
      <c r="G11" s="6"/>
      <c r="H11" s="6"/>
    </row>
    <row r="12" customFormat="false" ht="15" hidden="false" customHeight="false" outlineLevel="0" collapsed="false">
      <c r="D12" s="6"/>
      <c r="E12" s="6"/>
      <c r="F12" s="6"/>
      <c r="G12" s="6"/>
      <c r="H12" s="6"/>
    </row>
    <row r="13" customFormat="false" ht="15" hidden="false" customHeight="false" outlineLevel="0" collapsed="false">
      <c r="D13" s="6"/>
      <c r="E13" s="6"/>
      <c r="F13" s="6"/>
      <c r="G13" s="6"/>
      <c r="H13" s="6"/>
    </row>
    <row r="14" customFormat="false" ht="15" hidden="false" customHeight="false" outlineLevel="0" collapsed="false">
      <c r="D14" s="6"/>
      <c r="E14" s="6"/>
      <c r="F14" s="6"/>
      <c r="G14" s="6"/>
      <c r="H14" s="6"/>
    </row>
    <row r="15" customFormat="false" ht="15" hidden="false" customHeight="false" outlineLevel="0" collapsed="false">
      <c r="D15" s="6"/>
      <c r="E15" s="6"/>
      <c r="F15" s="6"/>
      <c r="G15" s="6"/>
      <c r="H15" s="6"/>
    </row>
  </sheetData>
  <mergeCells count="4">
    <mergeCell ref="A1:H1"/>
    <mergeCell ref="D3:H3"/>
    <mergeCell ref="D10:H10"/>
    <mergeCell ref="D11:H15"/>
  </mergeCells>
  <dataValidations count="1">
    <dataValidation allowBlank="false" errorStyle="stop" operator="between" showDropDown="false" showErrorMessage="false" showInputMessage="false" sqref="B10" type="list">
      <formula1>"Not Started,In Progress,Completed,Blocked"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46"/>
    <col collapsed="false" customWidth="true" hidden="false" outlineLevel="0" max="4" min="4" style="0" width="25"/>
    <col collapsed="false" customWidth="true" hidden="false" outlineLevel="0" max="7" min="5" style="0" width="15"/>
    <col collapsed="false" customWidth="true" hidden="false" outlineLevel="0" max="8" min="8" style="0" width="12"/>
    <col collapsed="false" customWidth="true" hidden="false" outlineLevel="0" max="9" min="9" style="0" width="35"/>
    <col collapsed="false" customWidth="true" hidden="false" outlineLevel="0" max="10" min="10" style="0" width="34"/>
  </cols>
  <sheetData>
    <row r="1" customFormat="false" ht="33.75" hidden="false" customHeight="true" outlineLevel="0" collapsed="false">
      <c r="A1" s="1" t="s">
        <v>53</v>
      </c>
      <c r="B1" s="1"/>
      <c r="C1" s="1"/>
      <c r="D1" s="1"/>
      <c r="E1" s="1"/>
      <c r="F1" s="1"/>
      <c r="G1" s="1"/>
      <c r="H1" s="1"/>
      <c r="I1" s="1"/>
      <c r="J1" s="1"/>
    </row>
    <row r="3" customFormat="false" ht="30" hidden="false" customHeight="true" outlineLevel="0" collapsed="false">
      <c r="A3" s="3" t="s">
        <v>54</v>
      </c>
      <c r="B3" s="3" t="s">
        <v>55</v>
      </c>
      <c r="C3" s="3" t="s">
        <v>56</v>
      </c>
      <c r="D3" s="3" t="s">
        <v>57</v>
      </c>
      <c r="E3" s="3" t="s">
        <v>58</v>
      </c>
      <c r="F3" s="3" t="s">
        <v>59</v>
      </c>
      <c r="G3" s="3" t="s">
        <v>60</v>
      </c>
      <c r="H3" s="3" t="s">
        <v>61</v>
      </c>
      <c r="I3" s="3" t="s">
        <v>62</v>
      </c>
      <c r="J3" s="3" t="s">
        <v>63</v>
      </c>
    </row>
    <row r="4" customFormat="false" ht="68.65" hidden="false" customHeight="false" outlineLevel="0" collapsed="false">
      <c r="A4" s="4" t="s">
        <v>64</v>
      </c>
      <c r="B4" s="4" t="s">
        <v>65</v>
      </c>
      <c r="C4" s="4" t="s">
        <v>66</v>
      </c>
      <c r="D4" s="8" t="s">
        <v>67</v>
      </c>
      <c r="E4" s="8" t="s">
        <v>68</v>
      </c>
      <c r="F4" s="8"/>
      <c r="G4" s="8" t="s">
        <v>42</v>
      </c>
      <c r="H4" s="13" t="n">
        <v>0.85</v>
      </c>
      <c r="I4" s="8" t="s">
        <v>69</v>
      </c>
      <c r="J4" s="8" t="s">
        <v>70</v>
      </c>
    </row>
    <row r="5" customFormat="false" ht="82.05" hidden="false" customHeight="false" outlineLevel="0" collapsed="false">
      <c r="A5" s="4" t="s">
        <v>71</v>
      </c>
      <c r="B5" s="4" t="s">
        <v>65</v>
      </c>
      <c r="C5" s="4" t="s">
        <v>72</v>
      </c>
      <c r="D5" s="8" t="s">
        <v>67</v>
      </c>
      <c r="E5" s="8" t="s">
        <v>68</v>
      </c>
      <c r="F5" s="8"/>
      <c r="G5" s="8" t="s">
        <v>42</v>
      </c>
      <c r="H5" s="13" t="n">
        <v>0.75</v>
      </c>
      <c r="I5" s="8" t="s">
        <v>73</v>
      </c>
      <c r="J5" s="8" t="s">
        <v>74</v>
      </c>
    </row>
    <row r="6" customFormat="false" ht="68.65" hidden="false" customHeight="false" outlineLevel="0" collapsed="false">
      <c r="A6" s="4" t="s">
        <v>75</v>
      </c>
      <c r="B6" s="4" t="s">
        <v>76</v>
      </c>
      <c r="C6" s="4" t="s">
        <v>77</v>
      </c>
      <c r="D6" s="8" t="s">
        <v>78</v>
      </c>
      <c r="E6" s="8" t="s">
        <v>79</v>
      </c>
      <c r="F6" s="8" t="s">
        <v>80</v>
      </c>
      <c r="G6" s="8" t="s">
        <v>40</v>
      </c>
      <c r="H6" s="13" t="n">
        <v>1</v>
      </c>
      <c r="I6" s="8" t="s">
        <v>81</v>
      </c>
      <c r="J6" s="8" t="s">
        <v>82</v>
      </c>
    </row>
    <row r="7" customFormat="false" ht="82.05" hidden="false" customHeight="false" outlineLevel="0" collapsed="false">
      <c r="A7" s="4" t="s">
        <v>83</v>
      </c>
      <c r="B7" s="4" t="s">
        <v>76</v>
      </c>
      <c r="C7" s="4" t="s">
        <v>84</v>
      </c>
      <c r="D7" s="8" t="s">
        <v>78</v>
      </c>
      <c r="E7" s="8" t="s">
        <v>85</v>
      </c>
      <c r="F7" s="8"/>
      <c r="G7" s="8" t="s">
        <v>42</v>
      </c>
      <c r="H7" s="13" t="n">
        <v>0.85</v>
      </c>
      <c r="I7" s="8" t="s">
        <v>86</v>
      </c>
      <c r="J7" s="8" t="s">
        <v>87</v>
      </c>
    </row>
    <row r="8" customFormat="false" ht="28.35" hidden="false" customHeight="false" outlineLevel="0" collapsed="false">
      <c r="A8" s="4" t="s">
        <v>88</v>
      </c>
      <c r="B8" s="4" t="s">
        <v>89</v>
      </c>
      <c r="C8" s="4" t="s">
        <v>90</v>
      </c>
      <c r="D8" s="8" t="s">
        <v>91</v>
      </c>
      <c r="E8" s="8" t="s">
        <v>92</v>
      </c>
      <c r="F8" s="8" t="s">
        <v>92</v>
      </c>
      <c r="G8" s="8" t="s">
        <v>40</v>
      </c>
      <c r="H8" s="13" t="n">
        <v>1</v>
      </c>
      <c r="I8" s="8" t="s">
        <v>93</v>
      </c>
      <c r="J8" s="8" t="s">
        <v>94</v>
      </c>
    </row>
    <row r="9" customFormat="false" ht="55.2" hidden="false" customHeight="false" outlineLevel="0" collapsed="false">
      <c r="A9" s="4" t="s">
        <v>95</v>
      </c>
      <c r="B9" s="4" t="s">
        <v>89</v>
      </c>
      <c r="C9" s="4" t="s">
        <v>96</v>
      </c>
      <c r="D9" s="8" t="s">
        <v>91</v>
      </c>
      <c r="E9" s="8" t="s">
        <v>85</v>
      </c>
      <c r="F9" s="8"/>
      <c r="G9" s="8" t="s">
        <v>42</v>
      </c>
      <c r="H9" s="13" t="n">
        <v>0.9</v>
      </c>
      <c r="I9" s="8" t="s">
        <v>97</v>
      </c>
      <c r="J9" s="8" t="s">
        <v>98</v>
      </c>
    </row>
    <row r="10" customFormat="false" ht="55.2" hidden="false" customHeight="false" outlineLevel="0" collapsed="false">
      <c r="A10" s="4" t="s">
        <v>99</v>
      </c>
      <c r="B10" s="4" t="s">
        <v>100</v>
      </c>
      <c r="C10" s="4" t="s">
        <v>101</v>
      </c>
      <c r="D10" s="8" t="s">
        <v>102</v>
      </c>
      <c r="E10" s="8" t="s">
        <v>103</v>
      </c>
      <c r="F10" s="8"/>
      <c r="G10" s="8" t="s">
        <v>42</v>
      </c>
      <c r="H10" s="13" t="n">
        <v>0.7</v>
      </c>
      <c r="I10" s="8" t="s">
        <v>104</v>
      </c>
      <c r="J10" s="8" t="s">
        <v>105</v>
      </c>
    </row>
    <row r="11" customFormat="false" ht="55.2" hidden="false" customHeight="false" outlineLevel="0" collapsed="false">
      <c r="A11" s="4" t="s">
        <v>106</v>
      </c>
      <c r="B11" s="4" t="s">
        <v>100</v>
      </c>
      <c r="C11" s="4" t="s">
        <v>107</v>
      </c>
      <c r="D11" s="8" t="s">
        <v>102</v>
      </c>
      <c r="E11" s="8" t="s">
        <v>103</v>
      </c>
      <c r="F11" s="8"/>
      <c r="G11" s="8" t="s">
        <v>42</v>
      </c>
      <c r="H11" s="13" t="n">
        <v>0.6</v>
      </c>
      <c r="I11" s="8" t="s">
        <v>108</v>
      </c>
      <c r="J11" s="8" t="s">
        <v>109</v>
      </c>
    </row>
    <row r="12" customFormat="false" ht="55.2" hidden="false" customHeight="false" outlineLevel="0" collapsed="false">
      <c r="A12" s="4" t="s">
        <v>110</v>
      </c>
      <c r="B12" s="4" t="s">
        <v>100</v>
      </c>
      <c r="C12" s="4" t="s">
        <v>111</v>
      </c>
      <c r="D12" s="8" t="s">
        <v>112</v>
      </c>
      <c r="E12" s="8" t="s">
        <v>85</v>
      </c>
      <c r="F12" s="8"/>
      <c r="G12" s="8" t="s">
        <v>42</v>
      </c>
      <c r="H12" s="13" t="n">
        <v>0.7</v>
      </c>
      <c r="I12" s="8" t="s">
        <v>113</v>
      </c>
      <c r="J12" s="8" t="s">
        <v>114</v>
      </c>
    </row>
    <row r="13" customFormat="false" ht="28.35" hidden="false" customHeight="false" outlineLevel="0" collapsed="false">
      <c r="A13" s="4" t="s">
        <v>115</v>
      </c>
      <c r="B13" s="4" t="s">
        <v>116</v>
      </c>
      <c r="C13" s="4" t="s">
        <v>117</v>
      </c>
      <c r="D13" s="8" t="s">
        <v>118</v>
      </c>
      <c r="E13" s="8" t="s">
        <v>119</v>
      </c>
      <c r="F13" s="8"/>
      <c r="G13" s="8" t="s">
        <v>42</v>
      </c>
      <c r="H13" s="13" t="n">
        <v>0.15</v>
      </c>
      <c r="I13" s="8" t="s">
        <v>120</v>
      </c>
      <c r="J13" s="8" t="s">
        <v>121</v>
      </c>
    </row>
    <row r="14" customFormat="false" ht="41.75" hidden="false" customHeight="false" outlineLevel="0" collapsed="false">
      <c r="A14" s="4" t="s">
        <v>122</v>
      </c>
      <c r="B14" s="4" t="s">
        <v>123</v>
      </c>
      <c r="C14" s="4" t="s">
        <v>124</v>
      </c>
      <c r="D14" s="8" t="s">
        <v>125</v>
      </c>
      <c r="E14" s="8" t="s">
        <v>119</v>
      </c>
      <c r="F14" s="8"/>
      <c r="G14" s="8" t="s">
        <v>126</v>
      </c>
      <c r="H14" s="13" t="n">
        <v>0</v>
      </c>
      <c r="I14" s="8"/>
      <c r="J14" s="8" t="s">
        <v>127</v>
      </c>
    </row>
    <row r="15" customFormat="false" ht="55.2" hidden="false" customHeight="false" outlineLevel="0" collapsed="false">
      <c r="A15" s="4" t="s">
        <v>128</v>
      </c>
      <c r="B15" s="4" t="s">
        <v>129</v>
      </c>
      <c r="C15" s="4" t="s">
        <v>130</v>
      </c>
      <c r="D15" s="8" t="s">
        <v>91</v>
      </c>
      <c r="E15" s="8" t="s">
        <v>119</v>
      </c>
      <c r="F15" s="8"/>
      <c r="G15" s="8" t="s">
        <v>42</v>
      </c>
      <c r="H15" s="13" t="n">
        <v>0.6</v>
      </c>
      <c r="I15" s="8" t="s">
        <v>46</v>
      </c>
      <c r="J15" s="8" t="s">
        <v>131</v>
      </c>
    </row>
    <row r="16" customFormat="false" ht="28.35" hidden="false" customHeight="false" outlineLevel="0" collapsed="false">
      <c r="A16" s="4" t="s">
        <v>132</v>
      </c>
      <c r="B16" s="4" t="s">
        <v>133</v>
      </c>
      <c r="C16" s="4" t="s">
        <v>134</v>
      </c>
      <c r="D16" s="8" t="s">
        <v>135</v>
      </c>
      <c r="E16" s="8" t="s">
        <v>136</v>
      </c>
      <c r="F16" s="8"/>
      <c r="G16" s="8" t="s">
        <v>42</v>
      </c>
      <c r="H16" s="13" t="n">
        <v>0.25</v>
      </c>
      <c r="I16" s="8" t="s">
        <v>137</v>
      </c>
      <c r="J16" s="8" t="s">
        <v>138</v>
      </c>
    </row>
    <row r="17" customFormat="false" ht="41.75" hidden="false" customHeight="false" outlineLevel="0" collapsed="false">
      <c r="A17" s="4" t="s">
        <v>139</v>
      </c>
      <c r="B17" s="4" t="s">
        <v>89</v>
      </c>
      <c r="C17" s="4" t="s">
        <v>140</v>
      </c>
      <c r="D17" s="8" t="s">
        <v>91</v>
      </c>
      <c r="E17" s="8" t="s">
        <v>92</v>
      </c>
      <c r="F17" s="8" t="s">
        <v>92</v>
      </c>
      <c r="G17" s="8" t="s">
        <v>40</v>
      </c>
      <c r="H17" s="13" t="n">
        <v>1</v>
      </c>
      <c r="I17" s="8" t="s">
        <v>141</v>
      </c>
      <c r="J17" s="8" t="s">
        <v>142</v>
      </c>
    </row>
    <row r="18" customFormat="false" ht="28.35" hidden="false" customHeight="false" outlineLevel="0" collapsed="false">
      <c r="A18" s="4" t="s">
        <v>143</v>
      </c>
      <c r="B18" s="4" t="s">
        <v>76</v>
      </c>
      <c r="C18" s="4" t="s">
        <v>144</v>
      </c>
      <c r="D18" s="8" t="s">
        <v>78</v>
      </c>
      <c r="E18" s="8" t="s">
        <v>79</v>
      </c>
      <c r="F18" s="8"/>
      <c r="G18" s="8" t="s">
        <v>126</v>
      </c>
      <c r="H18" s="13" t="n">
        <v>0</v>
      </c>
      <c r="I18" s="8" t="s">
        <v>145</v>
      </c>
      <c r="J18" s="8" t="s">
        <v>146</v>
      </c>
    </row>
    <row r="19" customFormat="false" ht="28.35" hidden="false" customHeight="false" outlineLevel="0" collapsed="false">
      <c r="A19" s="4" t="s">
        <v>147</v>
      </c>
      <c r="B19" s="4" t="s">
        <v>65</v>
      </c>
      <c r="C19" s="4" t="s">
        <v>148</v>
      </c>
      <c r="D19" s="8" t="s">
        <v>78</v>
      </c>
      <c r="E19" s="8" t="s">
        <v>68</v>
      </c>
      <c r="F19" s="8"/>
      <c r="G19" s="8" t="s">
        <v>126</v>
      </c>
      <c r="H19" s="13" t="n">
        <v>0</v>
      </c>
      <c r="I19" s="8" t="s">
        <v>149</v>
      </c>
      <c r="J19" s="8" t="s">
        <v>150</v>
      </c>
    </row>
    <row r="20" customFormat="false" ht="41.75" hidden="false" customHeight="false" outlineLevel="0" collapsed="false">
      <c r="A20" s="4" t="s">
        <v>151</v>
      </c>
      <c r="B20" s="4" t="s">
        <v>65</v>
      </c>
      <c r="C20" s="4" t="s">
        <v>152</v>
      </c>
      <c r="D20" s="8" t="s">
        <v>91</v>
      </c>
      <c r="E20" s="8" t="s">
        <v>153</v>
      </c>
      <c r="F20" s="8" t="s">
        <v>153</v>
      </c>
      <c r="G20" s="8" t="s">
        <v>40</v>
      </c>
      <c r="H20" s="13" t="n">
        <v>1</v>
      </c>
      <c r="I20" s="8" t="s">
        <v>154</v>
      </c>
      <c r="J20" s="8" t="s">
        <v>155</v>
      </c>
    </row>
    <row r="21" customFormat="false" ht="15" hidden="false" customHeight="false" outlineLevel="0" collapsed="false">
      <c r="A21" s="4" t="s">
        <v>156</v>
      </c>
      <c r="B21" s="4" t="s">
        <v>65</v>
      </c>
      <c r="C21" s="4" t="s">
        <v>157</v>
      </c>
      <c r="D21" s="8" t="s">
        <v>78</v>
      </c>
      <c r="E21" s="8" t="s">
        <v>158</v>
      </c>
      <c r="F21" s="8"/>
      <c r="G21" s="8" t="s">
        <v>126</v>
      </c>
      <c r="H21" s="13" t="n">
        <v>0</v>
      </c>
      <c r="I21" s="8"/>
      <c r="J21" s="8" t="s">
        <v>159</v>
      </c>
    </row>
    <row r="22" customFormat="false" ht="28.35" hidden="false" customHeight="false" outlineLevel="0" collapsed="false">
      <c r="A22" s="4" t="s">
        <v>160</v>
      </c>
      <c r="B22" s="4" t="s">
        <v>100</v>
      </c>
      <c r="C22" s="4" t="s">
        <v>161</v>
      </c>
      <c r="D22" s="8" t="s">
        <v>112</v>
      </c>
      <c r="E22" s="8" t="s">
        <v>85</v>
      </c>
      <c r="F22" s="8"/>
      <c r="G22" s="8" t="s">
        <v>126</v>
      </c>
      <c r="H22" s="13" t="n">
        <v>0</v>
      </c>
      <c r="I22" s="8" t="s">
        <v>162</v>
      </c>
      <c r="J22" s="8" t="s">
        <v>163</v>
      </c>
    </row>
    <row r="23" customFormat="false" ht="28.35" hidden="false" customHeight="false" outlineLevel="0" collapsed="false">
      <c r="A23" s="4" t="s">
        <v>164</v>
      </c>
      <c r="B23" s="4" t="s">
        <v>89</v>
      </c>
      <c r="C23" s="4" t="s">
        <v>165</v>
      </c>
      <c r="D23" s="8" t="s">
        <v>91</v>
      </c>
      <c r="E23" s="8" t="s">
        <v>85</v>
      </c>
      <c r="F23" s="8"/>
      <c r="G23" s="8" t="s">
        <v>126</v>
      </c>
      <c r="H23" s="13" t="n">
        <v>0</v>
      </c>
      <c r="I23" s="8"/>
      <c r="J23" s="8"/>
    </row>
    <row r="24" customFormat="false" ht="41.75" hidden="false" customHeight="false" outlineLevel="0" collapsed="false">
      <c r="A24" s="4" t="s">
        <v>166</v>
      </c>
      <c r="B24" s="4" t="s">
        <v>89</v>
      </c>
      <c r="C24" s="4" t="s">
        <v>167</v>
      </c>
      <c r="D24" s="8" t="s">
        <v>91</v>
      </c>
      <c r="E24" s="8" t="s">
        <v>168</v>
      </c>
      <c r="F24" s="8"/>
      <c r="G24" s="8" t="s">
        <v>42</v>
      </c>
      <c r="H24" s="13" t="n">
        <v>0.7</v>
      </c>
      <c r="I24" s="8" t="s">
        <v>169</v>
      </c>
      <c r="J24" s="8" t="s">
        <v>170</v>
      </c>
    </row>
    <row r="25" customFormat="false" ht="28.35" hidden="false" customHeight="false" outlineLevel="0" collapsed="false">
      <c r="A25" s="4" t="s">
        <v>171</v>
      </c>
      <c r="B25" s="4" t="s">
        <v>76</v>
      </c>
      <c r="C25" s="4" t="s">
        <v>172</v>
      </c>
      <c r="D25" s="8" t="s">
        <v>67</v>
      </c>
      <c r="E25" s="8" t="s">
        <v>85</v>
      </c>
      <c r="F25" s="8"/>
      <c r="G25" s="8" t="s">
        <v>126</v>
      </c>
      <c r="H25" s="13" t="n">
        <v>0</v>
      </c>
      <c r="I25" s="8" t="s">
        <v>173</v>
      </c>
      <c r="J25" s="8" t="s">
        <v>174</v>
      </c>
    </row>
    <row r="26" customFormat="false" ht="28.35" hidden="false" customHeight="false" outlineLevel="0" collapsed="false">
      <c r="A26" s="4" t="s">
        <v>175</v>
      </c>
      <c r="B26" s="4" t="s">
        <v>133</v>
      </c>
      <c r="C26" s="4" t="s">
        <v>176</v>
      </c>
      <c r="D26" s="8" t="s">
        <v>177</v>
      </c>
      <c r="E26" s="8" t="s">
        <v>79</v>
      </c>
      <c r="F26" s="8"/>
      <c r="G26" s="8" t="s">
        <v>126</v>
      </c>
      <c r="H26" s="13" t="n">
        <v>0</v>
      </c>
      <c r="I26" s="8" t="s">
        <v>178</v>
      </c>
      <c r="J26" s="8" t="s">
        <v>179</v>
      </c>
    </row>
    <row r="27" customFormat="false" ht="41.75" hidden="false" customHeight="false" outlineLevel="0" collapsed="false">
      <c r="A27" s="4" t="s">
        <v>180</v>
      </c>
      <c r="B27" s="4" t="s">
        <v>133</v>
      </c>
      <c r="C27" s="4" t="s">
        <v>181</v>
      </c>
      <c r="D27" s="8" t="s">
        <v>182</v>
      </c>
      <c r="E27" s="8" t="s">
        <v>103</v>
      </c>
      <c r="F27" s="8"/>
      <c r="G27" s="8" t="s">
        <v>126</v>
      </c>
      <c r="H27" s="13" t="n">
        <v>0</v>
      </c>
      <c r="I27" s="8" t="s">
        <v>183</v>
      </c>
      <c r="J27" s="8" t="s">
        <v>184</v>
      </c>
    </row>
    <row r="28" customFormat="false" ht="15" hidden="false" customHeight="false" outlineLevel="0" collapsed="false">
      <c r="A28" s="4"/>
      <c r="B28" s="4"/>
      <c r="C28" s="4"/>
      <c r="D28" s="8"/>
      <c r="E28" s="8"/>
      <c r="F28" s="8"/>
      <c r="G28" s="8"/>
      <c r="H28" s="13"/>
      <c r="I28" s="8"/>
      <c r="J28" s="8"/>
    </row>
    <row r="29" customFormat="false" ht="15" hidden="false" customHeight="false" outlineLevel="0" collapsed="false">
      <c r="A29" s="4"/>
      <c r="B29" s="4"/>
      <c r="C29" s="4"/>
      <c r="D29" s="8"/>
      <c r="E29" s="8"/>
      <c r="F29" s="8"/>
      <c r="G29" s="8"/>
      <c r="H29" s="13"/>
      <c r="I29" s="8"/>
      <c r="J29" s="8"/>
    </row>
    <row r="30" customFormat="false" ht="15" hidden="false" customHeight="false" outlineLevel="0" collapsed="false">
      <c r="A30" s="4"/>
      <c r="B30" s="4"/>
      <c r="C30" s="4"/>
      <c r="D30" s="8"/>
      <c r="E30" s="8"/>
      <c r="F30" s="8"/>
      <c r="G30" s="8"/>
      <c r="H30" s="13"/>
      <c r="I30" s="8"/>
      <c r="J30" s="8"/>
    </row>
    <row r="31" customFormat="false" ht="15" hidden="false" customHeight="false" outlineLevel="0" collapsed="false">
      <c r="A31" s="4"/>
      <c r="B31" s="4"/>
      <c r="C31" s="4"/>
      <c r="D31" s="8"/>
      <c r="E31" s="8"/>
      <c r="F31" s="8"/>
      <c r="G31" s="8"/>
      <c r="H31" s="13"/>
      <c r="I31" s="8"/>
      <c r="J31" s="8"/>
    </row>
    <row r="32" customFormat="false" ht="15" hidden="false" customHeight="false" outlineLevel="0" collapsed="false">
      <c r="A32" s="4"/>
      <c r="B32" s="4"/>
      <c r="C32" s="4"/>
      <c r="D32" s="8"/>
      <c r="E32" s="8"/>
      <c r="F32" s="8"/>
      <c r="G32" s="8"/>
      <c r="H32" s="13"/>
      <c r="I32" s="8"/>
      <c r="J32" s="8"/>
    </row>
    <row r="33" customFormat="false" ht="15" hidden="false" customHeight="false" outlineLevel="0" collapsed="false">
      <c r="A33" s="4"/>
      <c r="B33" s="4"/>
      <c r="C33" s="4"/>
      <c r="D33" s="8"/>
      <c r="E33" s="8"/>
      <c r="F33" s="8"/>
      <c r="G33" s="8"/>
      <c r="H33" s="13"/>
      <c r="I33" s="8"/>
      <c r="J33" s="8"/>
    </row>
  </sheetData>
  <mergeCells count="1">
    <mergeCell ref="A1:J1"/>
  </mergeCells>
  <conditionalFormatting sqref="G4:G33">
    <cfRule type="expression" priority="2" aboveAverage="0" equalAverage="0" bottom="0" percent="0" rank="0" text="" dxfId="0">
      <formula>G4="Completed"</formula>
    </cfRule>
    <cfRule type="expression" priority="3" aboveAverage="0" equalAverage="0" bottom="0" percent="0" rank="0" text="" dxfId="1">
      <formula>G4="Blocked"</formula>
    </cfRule>
  </conditionalFormatting>
  <conditionalFormatting sqref="H4:H33">
    <cfRule type="dataBar" priority="4">
      <dataBar showValue="1" minLength="10" maxLength="90">
        <cfvo type="min" val="0"/>
        <cfvo type="max" val="0"/>
        <color rgb="FFA02B93"/>
      </dataBar>
      <extLst>
        <ext xmlns:x14="http://schemas.microsoft.com/office/spreadsheetml/2009/9/main" uri="{B025F937-C7B1-47D3-B67F-A62EFF666E3E}">
          <x14:id>{3025EAF6-5240-408F-94F6-5A6846D0186E}</x14:id>
        </ext>
      </extLst>
    </cfRule>
  </conditionalFormatting>
  <dataValidations count="1">
    <dataValidation allowBlank="false" errorStyle="stop" operator="between" showDropDown="false" showErrorMessage="false" showInputMessage="false" sqref="G4:G33" type="list">
      <formula1>"Not Started,In Progress,Completed,Blocked"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3025EAF6-5240-408F-94F6-5A6846D0186E}">
            <x14:dataBar minLength="10" maxLength="90" axisPosition="none" gradient="true">
              <x14:cfvo type="min"/>
              <x14:cfvo type="max"/>
              <x14:negativeFillColor rgb="FFA02B93"/>
              <x14:axisColor rgb="FF000000"/>
            </x14:dataBar>
          </x14:cfRule>
          <xm:sqref>H4:H33</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22"/>
    <col collapsed="false" customWidth="true" hidden="false" outlineLevel="0" max="4" min="4" style="0" width="28"/>
    <col collapsed="false" customWidth="true" hidden="false" outlineLevel="0" max="5" min="5" style="0" width="42"/>
    <col collapsed="false" customWidth="true" hidden="false" outlineLevel="0" max="6" min="6" style="0" width="15"/>
    <col collapsed="false" customWidth="true" hidden="false" outlineLevel="0" max="7" min="7" style="0" width="12"/>
    <col collapsed="false" customWidth="true" hidden="false" outlineLevel="0" max="8" min="8" style="0" width="36"/>
    <col collapsed="false" customWidth="true" hidden="false" outlineLevel="0" max="10" min="9" style="0" width="15"/>
    <col collapsed="false" customWidth="true" hidden="false" outlineLevel="0" max="11" min="11" style="0" width="34"/>
    <col collapsed="false" customWidth="true" hidden="false" outlineLevel="0" max="12" min="12" style="0" width="16"/>
  </cols>
  <sheetData>
    <row r="1" customFormat="false" ht="33.75" hidden="false" customHeight="true" outlineLevel="0" collapsed="false">
      <c r="A1" s="1" t="s">
        <v>185</v>
      </c>
      <c r="B1" s="1"/>
      <c r="C1" s="1"/>
      <c r="D1" s="1"/>
      <c r="E1" s="1"/>
      <c r="F1" s="1"/>
      <c r="G1" s="1"/>
      <c r="H1" s="1"/>
      <c r="I1" s="1"/>
      <c r="J1" s="1"/>
      <c r="K1" s="1"/>
      <c r="L1" s="1"/>
    </row>
    <row r="3" customFormat="false" ht="30" hidden="false" customHeight="true" outlineLevel="0" collapsed="false">
      <c r="A3" s="3" t="s">
        <v>186</v>
      </c>
      <c r="B3" s="3" t="s">
        <v>187</v>
      </c>
      <c r="C3" s="3" t="s">
        <v>55</v>
      </c>
      <c r="D3" s="3" t="s">
        <v>188</v>
      </c>
      <c r="E3" s="3" t="s">
        <v>189</v>
      </c>
      <c r="F3" s="3" t="s">
        <v>190</v>
      </c>
      <c r="G3" s="3" t="s">
        <v>191</v>
      </c>
      <c r="H3" s="3" t="s">
        <v>62</v>
      </c>
      <c r="I3" s="3" t="s">
        <v>192</v>
      </c>
      <c r="J3" s="3" t="s">
        <v>193</v>
      </c>
      <c r="K3" s="3" t="s">
        <v>194</v>
      </c>
      <c r="L3" s="3" t="s">
        <v>195</v>
      </c>
    </row>
    <row r="4" customFormat="false" ht="55.2" hidden="false" customHeight="false" outlineLevel="0" collapsed="false">
      <c r="A4" s="8" t="s">
        <v>91</v>
      </c>
      <c r="B4" s="8" t="s">
        <v>196</v>
      </c>
      <c r="C4" s="8" t="s">
        <v>89</v>
      </c>
      <c r="D4" s="8" t="s">
        <v>197</v>
      </c>
      <c r="E4" s="8" t="s">
        <v>198</v>
      </c>
      <c r="F4" s="8" t="s">
        <v>92</v>
      </c>
      <c r="G4" s="8"/>
      <c r="H4" s="8" t="s">
        <v>141</v>
      </c>
      <c r="I4" s="8" t="s">
        <v>199</v>
      </c>
      <c r="J4" s="8"/>
      <c r="K4" s="8"/>
      <c r="L4" s="8" t="s">
        <v>40</v>
      </c>
    </row>
    <row r="5" customFormat="false" ht="28.35" hidden="false" customHeight="false" outlineLevel="0" collapsed="false">
      <c r="A5" s="8" t="s">
        <v>91</v>
      </c>
      <c r="B5" s="8" t="s">
        <v>196</v>
      </c>
      <c r="C5" s="8" t="s">
        <v>89</v>
      </c>
      <c r="D5" s="8" t="s">
        <v>200</v>
      </c>
      <c r="E5" s="8" t="s">
        <v>201</v>
      </c>
      <c r="F5" s="8" t="s">
        <v>92</v>
      </c>
      <c r="G5" s="8"/>
      <c r="H5" s="8" t="s">
        <v>178</v>
      </c>
      <c r="I5" s="8" t="s">
        <v>199</v>
      </c>
      <c r="J5" s="8"/>
      <c r="K5" s="8"/>
      <c r="L5" s="8" t="s">
        <v>40</v>
      </c>
    </row>
    <row r="6" customFormat="false" ht="41.75" hidden="false" customHeight="false" outlineLevel="0" collapsed="false">
      <c r="A6" s="8" t="s">
        <v>91</v>
      </c>
      <c r="B6" s="8" t="s">
        <v>196</v>
      </c>
      <c r="C6" s="8" t="s">
        <v>65</v>
      </c>
      <c r="D6" s="8" t="s">
        <v>202</v>
      </c>
      <c r="E6" s="8" t="s">
        <v>203</v>
      </c>
      <c r="F6" s="8" t="s">
        <v>153</v>
      </c>
      <c r="G6" s="8"/>
      <c r="H6" s="8" t="s">
        <v>204</v>
      </c>
      <c r="I6" s="8" t="s">
        <v>199</v>
      </c>
      <c r="J6" s="8"/>
      <c r="K6" s="8"/>
      <c r="L6" s="8" t="s">
        <v>40</v>
      </c>
    </row>
    <row r="7" customFormat="false" ht="41.75" hidden="false" customHeight="false" outlineLevel="0" collapsed="false">
      <c r="A7" s="8" t="s">
        <v>91</v>
      </c>
      <c r="B7" s="8" t="s">
        <v>196</v>
      </c>
      <c r="C7" s="8" t="s">
        <v>89</v>
      </c>
      <c r="D7" s="8" t="s">
        <v>205</v>
      </c>
      <c r="E7" s="8" t="s">
        <v>206</v>
      </c>
      <c r="F7" s="8" t="s">
        <v>207</v>
      </c>
      <c r="G7" s="8"/>
      <c r="H7" s="8" t="s">
        <v>169</v>
      </c>
      <c r="I7" s="8" t="s">
        <v>199</v>
      </c>
      <c r="J7" s="8"/>
      <c r="K7" s="8"/>
      <c r="L7" s="8" t="s">
        <v>42</v>
      </c>
    </row>
    <row r="8" customFormat="false" ht="55.2" hidden="false" customHeight="false" outlineLevel="0" collapsed="false">
      <c r="A8" s="8" t="s">
        <v>91</v>
      </c>
      <c r="B8" s="8" t="s">
        <v>196</v>
      </c>
      <c r="C8" s="8" t="s">
        <v>100</v>
      </c>
      <c r="D8" s="8" t="s">
        <v>208</v>
      </c>
      <c r="E8" s="8" t="s">
        <v>209</v>
      </c>
      <c r="F8" s="8" t="s">
        <v>158</v>
      </c>
      <c r="G8" s="8"/>
      <c r="H8" s="8" t="s">
        <v>210</v>
      </c>
      <c r="I8" s="8" t="s">
        <v>199</v>
      </c>
      <c r="J8" s="8"/>
      <c r="K8" s="8"/>
      <c r="L8" s="8" t="s">
        <v>40</v>
      </c>
    </row>
    <row r="9" customFormat="false" ht="15" hidden="false" customHeight="false" outlineLevel="0" collapsed="false">
      <c r="A9" s="8"/>
      <c r="B9" s="8"/>
      <c r="C9" s="8"/>
      <c r="D9" s="8"/>
      <c r="E9" s="8"/>
      <c r="F9" s="8"/>
      <c r="G9" s="8"/>
      <c r="H9" s="8"/>
      <c r="I9" s="8" t="s">
        <v>199</v>
      </c>
      <c r="J9" s="8"/>
      <c r="K9" s="8"/>
      <c r="L9" s="8" t="s">
        <v>126</v>
      </c>
    </row>
    <row r="10" customFormat="false" ht="15" hidden="false" customHeight="false" outlineLevel="0" collapsed="false">
      <c r="A10" s="8"/>
      <c r="B10" s="8"/>
      <c r="C10" s="8"/>
      <c r="D10" s="8"/>
      <c r="E10" s="8"/>
      <c r="F10" s="8"/>
      <c r="G10" s="8"/>
      <c r="H10" s="8"/>
      <c r="I10" s="8" t="s">
        <v>199</v>
      </c>
      <c r="J10" s="8"/>
      <c r="K10" s="8"/>
      <c r="L10" s="8" t="s">
        <v>126</v>
      </c>
    </row>
    <row r="11" customFormat="false" ht="15" hidden="false" customHeight="false" outlineLevel="0" collapsed="false">
      <c r="A11" s="8"/>
      <c r="B11" s="8"/>
      <c r="C11" s="8"/>
      <c r="D11" s="8"/>
      <c r="E11" s="8"/>
      <c r="F11" s="8"/>
      <c r="G11" s="8"/>
      <c r="H11" s="8"/>
      <c r="I11" s="8" t="s">
        <v>199</v>
      </c>
      <c r="J11" s="8"/>
      <c r="K11" s="8"/>
      <c r="L11" s="8" t="s">
        <v>126</v>
      </c>
    </row>
    <row r="12" customFormat="false" ht="15" hidden="false" customHeight="false" outlineLevel="0" collapsed="false">
      <c r="A12" s="8"/>
      <c r="B12" s="8"/>
      <c r="C12" s="8"/>
      <c r="D12" s="8"/>
      <c r="E12" s="8"/>
      <c r="F12" s="8"/>
      <c r="G12" s="8"/>
      <c r="H12" s="8"/>
      <c r="I12" s="8" t="s">
        <v>199</v>
      </c>
      <c r="J12" s="8"/>
      <c r="K12" s="8"/>
      <c r="L12" s="8" t="s">
        <v>126</v>
      </c>
    </row>
    <row r="13" customFormat="false" ht="15" hidden="false" customHeight="false" outlineLevel="0" collapsed="false">
      <c r="A13" s="8"/>
      <c r="B13" s="8"/>
      <c r="C13" s="8"/>
      <c r="D13" s="8"/>
      <c r="E13" s="8"/>
      <c r="F13" s="8"/>
      <c r="G13" s="8"/>
      <c r="H13" s="8"/>
      <c r="I13" s="8" t="s">
        <v>199</v>
      </c>
      <c r="J13" s="8"/>
      <c r="K13" s="8"/>
      <c r="L13" s="8" t="s">
        <v>126</v>
      </c>
    </row>
    <row r="14" customFormat="false" ht="15" hidden="false" customHeight="false" outlineLevel="0" collapsed="false">
      <c r="A14" s="8"/>
      <c r="B14" s="8"/>
      <c r="C14" s="8"/>
      <c r="D14" s="8"/>
      <c r="E14" s="8"/>
      <c r="F14" s="8"/>
      <c r="G14" s="8"/>
      <c r="H14" s="8"/>
      <c r="I14" s="8" t="s">
        <v>199</v>
      </c>
      <c r="J14" s="8"/>
      <c r="K14" s="8"/>
      <c r="L14" s="8" t="s">
        <v>126</v>
      </c>
    </row>
    <row r="15" customFormat="false" ht="15" hidden="false" customHeight="false" outlineLevel="0" collapsed="false">
      <c r="A15" s="8"/>
      <c r="B15" s="8"/>
      <c r="C15" s="8"/>
      <c r="D15" s="8"/>
      <c r="E15" s="8"/>
      <c r="F15" s="8"/>
      <c r="G15" s="8"/>
      <c r="H15" s="8"/>
      <c r="I15" s="8" t="s">
        <v>199</v>
      </c>
      <c r="J15" s="8"/>
      <c r="K15" s="8"/>
      <c r="L15" s="8" t="s">
        <v>126</v>
      </c>
    </row>
    <row r="16" customFormat="false" ht="15" hidden="false" customHeight="false" outlineLevel="0" collapsed="false">
      <c r="A16" s="8"/>
      <c r="B16" s="8"/>
      <c r="C16" s="8"/>
      <c r="D16" s="8"/>
      <c r="E16" s="8"/>
      <c r="F16" s="8"/>
      <c r="G16" s="8"/>
      <c r="H16" s="8"/>
      <c r="I16" s="8" t="s">
        <v>199</v>
      </c>
      <c r="J16" s="8"/>
      <c r="K16" s="8"/>
      <c r="L16" s="8" t="s">
        <v>126</v>
      </c>
    </row>
    <row r="17" customFormat="false" ht="15" hidden="false" customHeight="false" outlineLevel="0" collapsed="false">
      <c r="A17" s="8"/>
      <c r="B17" s="8"/>
      <c r="C17" s="8"/>
      <c r="D17" s="8"/>
      <c r="E17" s="8"/>
      <c r="F17" s="8"/>
      <c r="G17" s="8"/>
      <c r="H17" s="8"/>
      <c r="I17" s="8" t="s">
        <v>199</v>
      </c>
      <c r="J17" s="8"/>
      <c r="K17" s="8"/>
      <c r="L17" s="8" t="s">
        <v>126</v>
      </c>
    </row>
    <row r="18" customFormat="false" ht="15" hidden="false" customHeight="false" outlineLevel="0" collapsed="false">
      <c r="A18" s="8"/>
      <c r="B18" s="8"/>
      <c r="C18" s="8"/>
      <c r="D18" s="8"/>
      <c r="E18" s="8"/>
      <c r="F18" s="8"/>
      <c r="G18" s="8"/>
      <c r="H18" s="8"/>
      <c r="I18" s="8" t="s">
        <v>199</v>
      </c>
      <c r="J18" s="8"/>
      <c r="K18" s="8"/>
      <c r="L18" s="8" t="s">
        <v>126</v>
      </c>
    </row>
    <row r="19" customFormat="false" ht="15" hidden="false" customHeight="false" outlineLevel="0" collapsed="false">
      <c r="A19" s="8"/>
      <c r="B19" s="8"/>
      <c r="C19" s="8"/>
      <c r="D19" s="8"/>
      <c r="E19" s="8"/>
      <c r="F19" s="8"/>
      <c r="G19" s="8"/>
      <c r="H19" s="8"/>
      <c r="I19" s="8" t="s">
        <v>199</v>
      </c>
      <c r="J19" s="8"/>
      <c r="K19" s="8"/>
      <c r="L19" s="8" t="s">
        <v>126</v>
      </c>
    </row>
    <row r="20" customFormat="false" ht="15" hidden="false" customHeight="false" outlineLevel="0" collapsed="false">
      <c r="A20" s="8"/>
      <c r="B20" s="8"/>
      <c r="C20" s="8"/>
      <c r="D20" s="8"/>
      <c r="E20" s="8"/>
      <c r="F20" s="8"/>
      <c r="G20" s="8"/>
      <c r="H20" s="8"/>
      <c r="I20" s="8" t="s">
        <v>199</v>
      </c>
      <c r="J20" s="8"/>
      <c r="K20" s="8"/>
      <c r="L20" s="8" t="s">
        <v>126</v>
      </c>
    </row>
    <row r="21" customFormat="false" ht="15" hidden="false" customHeight="false" outlineLevel="0" collapsed="false">
      <c r="A21" s="8"/>
      <c r="B21" s="8"/>
      <c r="C21" s="8"/>
      <c r="D21" s="8"/>
      <c r="E21" s="8"/>
      <c r="F21" s="8"/>
      <c r="G21" s="8"/>
      <c r="H21" s="8"/>
      <c r="I21" s="8" t="s">
        <v>199</v>
      </c>
      <c r="J21" s="8"/>
      <c r="K21" s="8"/>
      <c r="L21" s="8" t="s">
        <v>126</v>
      </c>
    </row>
    <row r="22" customFormat="false" ht="15" hidden="false" customHeight="false" outlineLevel="0" collapsed="false">
      <c r="A22" s="8"/>
      <c r="B22" s="8"/>
      <c r="C22" s="8"/>
      <c r="D22" s="8"/>
      <c r="E22" s="8"/>
      <c r="F22" s="8"/>
      <c r="G22" s="8"/>
      <c r="H22" s="8"/>
      <c r="I22" s="8" t="s">
        <v>199</v>
      </c>
      <c r="J22" s="8"/>
      <c r="K22" s="8"/>
      <c r="L22" s="8" t="s">
        <v>126</v>
      </c>
    </row>
    <row r="23" customFormat="false" ht="15" hidden="false" customHeight="false" outlineLevel="0" collapsed="false">
      <c r="A23" s="8"/>
      <c r="B23" s="8"/>
      <c r="C23" s="8"/>
      <c r="D23" s="8"/>
      <c r="E23" s="8"/>
      <c r="F23" s="8"/>
      <c r="G23" s="8"/>
      <c r="H23" s="8"/>
      <c r="I23" s="8" t="s">
        <v>199</v>
      </c>
      <c r="J23" s="8"/>
      <c r="K23" s="8"/>
      <c r="L23" s="8" t="s">
        <v>126</v>
      </c>
    </row>
    <row r="24" customFormat="false" ht="15" hidden="false" customHeight="false" outlineLevel="0" collapsed="false">
      <c r="A24" s="8"/>
      <c r="B24" s="8"/>
      <c r="C24" s="8"/>
      <c r="D24" s="8"/>
      <c r="E24" s="8"/>
      <c r="F24" s="8"/>
      <c r="G24" s="8"/>
      <c r="H24" s="8"/>
      <c r="I24" s="8" t="s">
        <v>199</v>
      </c>
      <c r="J24" s="8"/>
      <c r="K24" s="8"/>
      <c r="L24" s="8" t="s">
        <v>126</v>
      </c>
    </row>
    <row r="25" customFormat="false" ht="15" hidden="false" customHeight="false" outlineLevel="0" collapsed="false">
      <c r="A25" s="8"/>
      <c r="B25" s="8"/>
      <c r="C25" s="8"/>
      <c r="D25" s="8"/>
      <c r="E25" s="8"/>
      <c r="F25" s="8"/>
      <c r="G25" s="8"/>
      <c r="H25" s="8"/>
      <c r="I25" s="8" t="s">
        <v>199</v>
      </c>
      <c r="J25" s="8"/>
      <c r="K25" s="8"/>
      <c r="L25" s="8" t="s">
        <v>126</v>
      </c>
    </row>
    <row r="26" customFormat="false" ht="15" hidden="false" customHeight="false" outlineLevel="0" collapsed="false">
      <c r="A26" s="8"/>
      <c r="B26" s="8"/>
      <c r="C26" s="8"/>
      <c r="D26" s="8"/>
      <c r="E26" s="8"/>
      <c r="F26" s="8"/>
      <c r="G26" s="8"/>
      <c r="H26" s="8"/>
      <c r="I26" s="8" t="s">
        <v>199</v>
      </c>
      <c r="J26" s="8"/>
      <c r="K26" s="8"/>
      <c r="L26" s="8" t="s">
        <v>126</v>
      </c>
    </row>
    <row r="27" customFormat="false" ht="15" hidden="false" customHeight="false" outlineLevel="0" collapsed="false">
      <c r="A27" s="8"/>
      <c r="B27" s="8"/>
      <c r="C27" s="8"/>
      <c r="D27" s="8"/>
      <c r="E27" s="8"/>
      <c r="F27" s="8"/>
      <c r="G27" s="8"/>
      <c r="H27" s="8"/>
      <c r="I27" s="8" t="s">
        <v>199</v>
      </c>
      <c r="J27" s="8"/>
      <c r="K27" s="8"/>
      <c r="L27" s="8" t="s">
        <v>126</v>
      </c>
    </row>
    <row r="28" customFormat="false" ht="15" hidden="false" customHeight="false" outlineLevel="0" collapsed="false">
      <c r="A28" s="8"/>
      <c r="B28" s="8"/>
      <c r="C28" s="8"/>
      <c r="D28" s="8"/>
      <c r="E28" s="8"/>
      <c r="F28" s="8"/>
      <c r="G28" s="8"/>
      <c r="H28" s="8"/>
      <c r="I28" s="8" t="s">
        <v>199</v>
      </c>
      <c r="J28" s="8"/>
      <c r="K28" s="8"/>
      <c r="L28" s="8" t="s">
        <v>126</v>
      </c>
    </row>
    <row r="29" customFormat="false" ht="15" hidden="false" customHeight="false" outlineLevel="0" collapsed="false">
      <c r="A29" s="8"/>
      <c r="B29" s="8"/>
      <c r="C29" s="8"/>
      <c r="D29" s="8"/>
      <c r="E29" s="8"/>
      <c r="F29" s="8"/>
      <c r="G29" s="8"/>
      <c r="H29" s="8"/>
      <c r="I29" s="8" t="s">
        <v>199</v>
      </c>
      <c r="J29" s="8"/>
      <c r="K29" s="8"/>
      <c r="L29" s="8" t="s">
        <v>126</v>
      </c>
    </row>
    <row r="30" customFormat="false" ht="15" hidden="false" customHeight="false" outlineLevel="0" collapsed="false">
      <c r="A30" s="8"/>
      <c r="B30" s="8"/>
      <c r="C30" s="8"/>
      <c r="D30" s="8"/>
      <c r="E30" s="8"/>
      <c r="F30" s="8"/>
      <c r="G30" s="8"/>
      <c r="H30" s="8"/>
      <c r="I30" s="8" t="s">
        <v>199</v>
      </c>
      <c r="J30" s="8"/>
      <c r="K30" s="8"/>
      <c r="L30" s="8" t="s">
        <v>126</v>
      </c>
    </row>
    <row r="31" customFormat="false" ht="15" hidden="false" customHeight="false" outlineLevel="0" collapsed="false">
      <c r="A31" s="8"/>
      <c r="B31" s="8"/>
      <c r="C31" s="8"/>
      <c r="D31" s="8"/>
      <c r="E31" s="8"/>
      <c r="F31" s="8"/>
      <c r="G31" s="8"/>
      <c r="H31" s="8"/>
      <c r="I31" s="8" t="s">
        <v>199</v>
      </c>
      <c r="J31" s="8"/>
      <c r="K31" s="8"/>
      <c r="L31" s="8" t="s">
        <v>126</v>
      </c>
    </row>
    <row r="32" customFormat="false" ht="15" hidden="false" customHeight="false" outlineLevel="0" collapsed="false">
      <c r="A32" s="8"/>
      <c r="B32" s="8"/>
      <c r="C32" s="8"/>
      <c r="D32" s="8"/>
      <c r="E32" s="8"/>
      <c r="F32" s="8"/>
      <c r="G32" s="8"/>
      <c r="H32" s="8"/>
      <c r="I32" s="8" t="s">
        <v>199</v>
      </c>
      <c r="J32" s="8"/>
      <c r="K32" s="8"/>
      <c r="L32" s="8" t="s">
        <v>126</v>
      </c>
    </row>
    <row r="33" customFormat="false" ht="15" hidden="false" customHeight="false" outlineLevel="0" collapsed="false">
      <c r="A33" s="8"/>
      <c r="B33" s="8"/>
      <c r="C33" s="8"/>
      <c r="D33" s="8"/>
      <c r="E33" s="8"/>
      <c r="F33" s="8"/>
      <c r="G33" s="8"/>
      <c r="H33" s="8"/>
      <c r="I33" s="8" t="s">
        <v>199</v>
      </c>
      <c r="J33" s="8"/>
      <c r="K33" s="8"/>
      <c r="L33" s="8" t="s">
        <v>126</v>
      </c>
    </row>
    <row r="34" customFormat="false" ht="15" hidden="false" customHeight="false" outlineLevel="0" collapsed="false">
      <c r="A34" s="8"/>
      <c r="B34" s="8"/>
      <c r="C34" s="8"/>
      <c r="D34" s="8"/>
      <c r="E34" s="8"/>
      <c r="F34" s="8"/>
      <c r="G34" s="8"/>
      <c r="H34" s="8"/>
      <c r="I34" s="8" t="s">
        <v>199</v>
      </c>
      <c r="J34" s="8"/>
      <c r="K34" s="8"/>
      <c r="L34" s="8" t="s">
        <v>126</v>
      </c>
    </row>
    <row r="35" customFormat="false" ht="15" hidden="false" customHeight="false" outlineLevel="0" collapsed="false">
      <c r="A35" s="8"/>
      <c r="B35" s="8"/>
      <c r="C35" s="8"/>
      <c r="D35" s="8"/>
      <c r="E35" s="8"/>
      <c r="F35" s="8"/>
      <c r="G35" s="8"/>
      <c r="H35" s="8"/>
      <c r="I35" s="8" t="s">
        <v>199</v>
      </c>
      <c r="J35" s="8"/>
      <c r="K35" s="8"/>
      <c r="L35" s="8" t="s">
        <v>126</v>
      </c>
    </row>
    <row r="36" customFormat="false" ht="15" hidden="false" customHeight="false" outlineLevel="0" collapsed="false">
      <c r="A36" s="8"/>
      <c r="B36" s="8"/>
      <c r="C36" s="8"/>
      <c r="D36" s="8"/>
      <c r="E36" s="8"/>
      <c r="F36" s="8"/>
      <c r="G36" s="8"/>
      <c r="H36" s="8"/>
      <c r="I36" s="8" t="s">
        <v>199</v>
      </c>
      <c r="J36" s="8"/>
      <c r="K36" s="8"/>
      <c r="L36" s="8" t="s">
        <v>126</v>
      </c>
    </row>
    <row r="37" customFormat="false" ht="15" hidden="false" customHeight="false" outlineLevel="0" collapsed="false">
      <c r="A37" s="8"/>
      <c r="B37" s="8"/>
      <c r="C37" s="8"/>
      <c r="D37" s="8"/>
      <c r="E37" s="8"/>
      <c r="F37" s="8"/>
      <c r="G37" s="8"/>
      <c r="H37" s="8"/>
      <c r="I37" s="8" t="s">
        <v>199</v>
      </c>
      <c r="J37" s="8"/>
      <c r="K37" s="8"/>
      <c r="L37" s="8" t="s">
        <v>126</v>
      </c>
    </row>
    <row r="38" customFormat="false" ht="15" hidden="false" customHeight="false" outlineLevel="0" collapsed="false">
      <c r="A38" s="8"/>
      <c r="B38" s="8"/>
      <c r="C38" s="8"/>
      <c r="D38" s="8"/>
      <c r="E38" s="8"/>
      <c r="F38" s="8"/>
      <c r="G38" s="8"/>
      <c r="H38" s="8"/>
      <c r="I38" s="8" t="s">
        <v>199</v>
      </c>
      <c r="J38" s="8"/>
      <c r="K38" s="8"/>
      <c r="L38" s="8" t="s">
        <v>126</v>
      </c>
    </row>
    <row r="39" customFormat="false" ht="15" hidden="false" customHeight="false" outlineLevel="0" collapsed="false">
      <c r="A39" s="8"/>
      <c r="B39" s="8"/>
      <c r="C39" s="8"/>
      <c r="D39" s="8"/>
      <c r="E39" s="8"/>
      <c r="F39" s="8"/>
      <c r="G39" s="8"/>
      <c r="H39" s="8"/>
      <c r="I39" s="8" t="s">
        <v>199</v>
      </c>
      <c r="J39" s="8"/>
      <c r="K39" s="8"/>
      <c r="L39" s="8" t="s">
        <v>126</v>
      </c>
    </row>
    <row r="40" customFormat="false" ht="15" hidden="false" customHeight="false" outlineLevel="0" collapsed="false">
      <c r="A40" s="8"/>
      <c r="B40" s="8"/>
      <c r="C40" s="8"/>
      <c r="D40" s="8"/>
      <c r="E40" s="8"/>
      <c r="F40" s="8"/>
      <c r="G40" s="8"/>
      <c r="H40" s="8"/>
      <c r="I40" s="8" t="s">
        <v>199</v>
      </c>
      <c r="J40" s="8"/>
      <c r="K40" s="8"/>
      <c r="L40" s="8" t="s">
        <v>126</v>
      </c>
    </row>
    <row r="41" customFormat="false" ht="15" hidden="false" customHeight="false" outlineLevel="0" collapsed="false">
      <c r="A41" s="8"/>
      <c r="B41" s="8"/>
      <c r="C41" s="8"/>
      <c r="D41" s="8"/>
      <c r="E41" s="8"/>
      <c r="F41" s="8"/>
      <c r="G41" s="8"/>
      <c r="H41" s="8"/>
      <c r="I41" s="8" t="s">
        <v>199</v>
      </c>
      <c r="J41" s="8"/>
      <c r="K41" s="8"/>
      <c r="L41" s="8" t="s">
        <v>126</v>
      </c>
    </row>
    <row r="42" customFormat="false" ht="15" hidden="false" customHeight="false" outlineLevel="0" collapsed="false">
      <c r="A42" s="8"/>
      <c r="B42" s="8"/>
      <c r="C42" s="8"/>
      <c r="D42" s="8"/>
      <c r="E42" s="8"/>
      <c r="F42" s="8"/>
      <c r="G42" s="8"/>
      <c r="H42" s="8"/>
      <c r="I42" s="8" t="s">
        <v>199</v>
      </c>
      <c r="J42" s="8"/>
      <c r="K42" s="8"/>
      <c r="L42" s="8" t="s">
        <v>126</v>
      </c>
    </row>
    <row r="43" customFormat="false" ht="15" hidden="false" customHeight="false" outlineLevel="0" collapsed="false">
      <c r="A43" s="8"/>
      <c r="B43" s="8"/>
      <c r="C43" s="8"/>
      <c r="D43" s="8"/>
      <c r="E43" s="8"/>
      <c r="F43" s="8"/>
      <c r="G43" s="8"/>
      <c r="H43" s="8"/>
      <c r="I43" s="8" t="s">
        <v>199</v>
      </c>
      <c r="J43" s="8"/>
      <c r="K43" s="8"/>
      <c r="L43" s="8" t="s">
        <v>126</v>
      </c>
    </row>
    <row r="44" customFormat="false" ht="15" hidden="false" customHeight="false" outlineLevel="0" collapsed="false">
      <c r="A44" s="8"/>
      <c r="B44" s="8"/>
      <c r="C44" s="8"/>
      <c r="D44" s="8"/>
      <c r="E44" s="8"/>
      <c r="F44" s="8"/>
      <c r="G44" s="8"/>
      <c r="H44" s="8"/>
      <c r="I44" s="8" t="s">
        <v>199</v>
      </c>
      <c r="J44" s="8"/>
      <c r="K44" s="8"/>
      <c r="L44" s="8" t="s">
        <v>126</v>
      </c>
    </row>
    <row r="45" customFormat="false" ht="15" hidden="false" customHeight="false" outlineLevel="0" collapsed="false">
      <c r="A45" s="8"/>
      <c r="B45" s="8"/>
      <c r="C45" s="8"/>
      <c r="D45" s="8"/>
      <c r="E45" s="8"/>
      <c r="F45" s="8"/>
      <c r="G45" s="8"/>
      <c r="H45" s="8"/>
      <c r="I45" s="8" t="s">
        <v>199</v>
      </c>
      <c r="J45" s="8"/>
      <c r="K45" s="8"/>
      <c r="L45" s="8" t="s">
        <v>126</v>
      </c>
    </row>
    <row r="46" customFormat="false" ht="15" hidden="false" customHeight="false" outlineLevel="0" collapsed="false">
      <c r="A46" s="8"/>
      <c r="B46" s="8"/>
      <c r="C46" s="8"/>
      <c r="D46" s="8"/>
      <c r="E46" s="8"/>
      <c r="F46" s="8"/>
      <c r="G46" s="8"/>
      <c r="H46" s="8"/>
      <c r="I46" s="8" t="s">
        <v>199</v>
      </c>
      <c r="J46" s="8"/>
      <c r="K46" s="8"/>
      <c r="L46" s="8" t="s">
        <v>126</v>
      </c>
    </row>
    <row r="47" customFormat="false" ht="15" hidden="false" customHeight="false" outlineLevel="0" collapsed="false">
      <c r="A47" s="8"/>
      <c r="B47" s="8"/>
      <c r="C47" s="8"/>
      <c r="D47" s="8"/>
      <c r="E47" s="8"/>
      <c r="F47" s="8"/>
      <c r="G47" s="8"/>
      <c r="H47" s="8"/>
      <c r="I47" s="8" t="s">
        <v>199</v>
      </c>
      <c r="J47" s="8"/>
      <c r="K47" s="8"/>
      <c r="L47" s="8" t="s">
        <v>126</v>
      </c>
    </row>
    <row r="48" customFormat="false" ht="15" hidden="false" customHeight="false" outlineLevel="0" collapsed="false">
      <c r="A48" s="8"/>
      <c r="B48" s="8"/>
      <c r="C48" s="8"/>
      <c r="D48" s="8"/>
      <c r="E48" s="8"/>
      <c r="F48" s="8"/>
      <c r="G48" s="8"/>
      <c r="H48" s="8"/>
      <c r="I48" s="8" t="s">
        <v>199</v>
      </c>
      <c r="J48" s="8"/>
      <c r="K48" s="8"/>
      <c r="L48" s="8" t="s">
        <v>126</v>
      </c>
    </row>
    <row r="49" customFormat="false" ht="15" hidden="false" customHeight="false" outlineLevel="0" collapsed="false">
      <c r="A49" s="8"/>
      <c r="B49" s="8"/>
      <c r="C49" s="8"/>
      <c r="D49" s="8"/>
      <c r="E49" s="8"/>
      <c r="F49" s="8"/>
      <c r="G49" s="8"/>
      <c r="H49" s="8"/>
      <c r="I49" s="8" t="s">
        <v>199</v>
      </c>
      <c r="J49" s="8"/>
      <c r="K49" s="8"/>
      <c r="L49" s="8" t="s">
        <v>126</v>
      </c>
    </row>
    <row r="50" customFormat="false" ht="15" hidden="false" customHeight="false" outlineLevel="0" collapsed="false">
      <c r="A50" s="8"/>
      <c r="B50" s="8"/>
      <c r="C50" s="8"/>
      <c r="D50" s="8"/>
      <c r="E50" s="8"/>
      <c r="F50" s="8"/>
      <c r="G50" s="8"/>
      <c r="H50" s="8"/>
      <c r="I50" s="8" t="s">
        <v>199</v>
      </c>
      <c r="J50" s="8"/>
      <c r="K50" s="8"/>
      <c r="L50" s="8" t="s">
        <v>126</v>
      </c>
    </row>
    <row r="51" customFormat="false" ht="15" hidden="false" customHeight="false" outlineLevel="0" collapsed="false">
      <c r="A51" s="8"/>
      <c r="B51" s="8"/>
      <c r="C51" s="8"/>
      <c r="D51" s="8"/>
      <c r="E51" s="8"/>
      <c r="F51" s="8"/>
      <c r="G51" s="8"/>
      <c r="H51" s="8"/>
      <c r="I51" s="8" t="s">
        <v>199</v>
      </c>
      <c r="J51" s="8"/>
      <c r="K51" s="8"/>
      <c r="L51" s="8" t="s">
        <v>126</v>
      </c>
    </row>
    <row r="52" customFormat="false" ht="15" hidden="false" customHeight="false" outlineLevel="0" collapsed="false">
      <c r="A52" s="8"/>
      <c r="B52" s="8"/>
      <c r="C52" s="8"/>
      <c r="D52" s="8"/>
      <c r="E52" s="8"/>
      <c r="F52" s="8"/>
      <c r="G52" s="8"/>
      <c r="H52" s="8"/>
      <c r="I52" s="8" t="s">
        <v>199</v>
      </c>
      <c r="J52" s="8"/>
      <c r="K52" s="8"/>
      <c r="L52" s="8" t="s">
        <v>126</v>
      </c>
    </row>
    <row r="53" customFormat="false" ht="15" hidden="false" customHeight="false" outlineLevel="0" collapsed="false">
      <c r="A53" s="8"/>
      <c r="B53" s="8"/>
      <c r="C53" s="8"/>
      <c r="D53" s="8"/>
      <c r="E53" s="8"/>
      <c r="F53" s="8"/>
      <c r="G53" s="8"/>
      <c r="H53" s="8"/>
      <c r="I53" s="8" t="s">
        <v>199</v>
      </c>
      <c r="J53" s="8"/>
      <c r="K53" s="8"/>
      <c r="L53" s="8" t="s">
        <v>126</v>
      </c>
    </row>
  </sheetData>
  <mergeCells count="1">
    <mergeCell ref="A1:L1"/>
  </mergeCells>
  <conditionalFormatting sqref="L4:L53">
    <cfRule type="expression" priority="2" aboveAverage="0" equalAverage="0" bottom="0" percent="0" rank="0" text="" dxfId="0">
      <formula>L4="Completed"</formula>
    </cfRule>
  </conditionalFormatting>
  <dataValidations count="3">
    <dataValidation allowBlank="false" errorStyle="stop" operator="between" showDropDown="false" showErrorMessage="false" showInputMessage="false" sqref="C4:C53" type="list">
      <formula1>"Supabase Backend,Flutter,ASP.NET,Integration,SRS,Microsoft Project,GitHub,Final Demonstration,Other"</formula1>
      <formula2>0</formula2>
    </dataValidation>
    <dataValidation allowBlank="false" errorStyle="stop" operator="between" showDropDown="false" showErrorMessage="false" showInputMessage="false" sqref="I4:I53" type="list">
      <formula1>"Yes,No"</formula1>
      <formula2>0</formula2>
    </dataValidation>
    <dataValidation allowBlank="false" errorStyle="stop" operator="between" showDropDown="false" showErrorMessage="false" showInputMessage="false" sqref="L4:L53" type="list">
      <formula1>"Not Started,In Progress,Completed,Blocked"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0"/>
    <col collapsed="false" customWidth="true" hidden="false" outlineLevel="0" max="5" min="3" style="0" width="34"/>
    <col collapsed="false" customWidth="true" hidden="false" outlineLevel="0" max="6" min="6" style="0" width="15"/>
    <col collapsed="false" customWidth="true" hidden="false" outlineLevel="0" max="7" min="7" style="0" width="24"/>
    <col collapsed="false" customWidth="true" hidden="false" outlineLevel="0" max="8" min="8" style="0" width="35"/>
    <col collapsed="false" customWidth="true" hidden="false" outlineLevel="0" max="9" min="9" style="0" width="34"/>
  </cols>
  <sheetData>
    <row r="1" customFormat="false" ht="33.75" hidden="false" customHeight="true" outlineLevel="0" collapsed="false">
      <c r="A1" s="1" t="s">
        <v>211</v>
      </c>
      <c r="B1" s="1"/>
      <c r="C1" s="1"/>
      <c r="D1" s="1"/>
      <c r="E1" s="1"/>
      <c r="F1" s="1"/>
      <c r="G1" s="1"/>
      <c r="H1" s="1"/>
      <c r="I1" s="1"/>
    </row>
    <row r="3" customFormat="false" ht="30" hidden="false" customHeight="true" outlineLevel="0" collapsed="false">
      <c r="A3" s="3" t="s">
        <v>212</v>
      </c>
      <c r="B3" s="3" t="s">
        <v>213</v>
      </c>
      <c r="C3" s="3" t="s">
        <v>214</v>
      </c>
      <c r="D3" s="3" t="s">
        <v>215</v>
      </c>
      <c r="E3" s="3" t="s">
        <v>216</v>
      </c>
      <c r="F3" s="3" t="s">
        <v>217</v>
      </c>
      <c r="G3" s="3" t="s">
        <v>57</v>
      </c>
      <c r="H3" s="3" t="s">
        <v>218</v>
      </c>
      <c r="I3" s="3" t="s">
        <v>219</v>
      </c>
    </row>
    <row r="4" customFormat="false" ht="41.75" hidden="false" customHeight="false" outlineLevel="0" collapsed="false">
      <c r="A4" s="8" t="s">
        <v>220</v>
      </c>
      <c r="B4" s="8" t="s">
        <v>221</v>
      </c>
      <c r="C4" s="8" t="s">
        <v>222</v>
      </c>
      <c r="D4" s="8" t="s">
        <v>223</v>
      </c>
      <c r="E4" s="8" t="s">
        <v>224</v>
      </c>
      <c r="F4" s="8" t="s">
        <v>42</v>
      </c>
      <c r="G4" s="8" t="s">
        <v>102</v>
      </c>
      <c r="H4" s="8" t="s">
        <v>225</v>
      </c>
      <c r="I4" s="8" t="s">
        <v>226</v>
      </c>
    </row>
    <row r="5" customFormat="false" ht="41.75" hidden="false" customHeight="false" outlineLevel="0" collapsed="false">
      <c r="A5" s="8" t="s">
        <v>227</v>
      </c>
      <c r="B5" s="8" t="s">
        <v>228</v>
      </c>
      <c r="C5" s="8" t="s">
        <v>229</v>
      </c>
      <c r="D5" s="8" t="s">
        <v>230</v>
      </c>
      <c r="E5" s="8" t="s">
        <v>231</v>
      </c>
      <c r="F5" s="8" t="s">
        <v>42</v>
      </c>
      <c r="G5" s="8" t="s">
        <v>102</v>
      </c>
      <c r="H5" s="8" t="s">
        <v>225</v>
      </c>
      <c r="I5" s="8" t="s">
        <v>232</v>
      </c>
    </row>
    <row r="6" customFormat="false" ht="41.75" hidden="false" customHeight="false" outlineLevel="0" collapsed="false">
      <c r="A6" s="8" t="s">
        <v>233</v>
      </c>
      <c r="B6" s="8" t="s">
        <v>234</v>
      </c>
      <c r="C6" s="8" t="s">
        <v>235</v>
      </c>
      <c r="D6" s="8" t="s">
        <v>236</v>
      </c>
      <c r="E6" s="8" t="s">
        <v>237</v>
      </c>
      <c r="F6" s="8" t="s">
        <v>42</v>
      </c>
      <c r="G6" s="8" t="s">
        <v>67</v>
      </c>
      <c r="H6" s="8"/>
      <c r="I6" s="8" t="s">
        <v>238</v>
      </c>
    </row>
    <row r="7" customFormat="false" ht="41.75" hidden="false" customHeight="false" outlineLevel="0" collapsed="false">
      <c r="A7" s="8" t="s">
        <v>239</v>
      </c>
      <c r="B7" s="8" t="s">
        <v>240</v>
      </c>
      <c r="C7" s="8" t="s">
        <v>241</v>
      </c>
      <c r="D7" s="8" t="s">
        <v>242</v>
      </c>
      <c r="E7" s="8" t="s">
        <v>243</v>
      </c>
      <c r="F7" s="8" t="s">
        <v>42</v>
      </c>
      <c r="G7" s="8" t="s">
        <v>112</v>
      </c>
      <c r="H7" s="8"/>
      <c r="I7" s="8" t="s">
        <v>244</v>
      </c>
    </row>
    <row r="8" customFormat="false" ht="15" hidden="false" customHeight="false" outlineLevel="0" collapsed="false">
      <c r="A8" s="8"/>
      <c r="B8" s="8"/>
      <c r="C8" s="8"/>
      <c r="D8" s="8"/>
      <c r="E8" s="8"/>
      <c r="F8" s="8" t="s">
        <v>126</v>
      </c>
      <c r="G8" s="8"/>
      <c r="H8" s="8"/>
      <c r="I8" s="8"/>
    </row>
    <row r="9" customFormat="false" ht="15" hidden="false" customHeight="false" outlineLevel="0" collapsed="false">
      <c r="A9" s="8"/>
      <c r="B9" s="8"/>
      <c r="C9" s="8"/>
      <c r="D9" s="8"/>
      <c r="E9" s="8"/>
      <c r="F9" s="8" t="s">
        <v>126</v>
      </c>
      <c r="G9" s="8"/>
      <c r="H9" s="8"/>
      <c r="I9" s="8"/>
    </row>
    <row r="10" customFormat="false" ht="15" hidden="false" customHeight="false" outlineLevel="0" collapsed="false">
      <c r="A10" s="8"/>
      <c r="B10" s="8"/>
      <c r="C10" s="8"/>
      <c r="D10" s="8"/>
      <c r="E10" s="8"/>
      <c r="F10" s="8" t="s">
        <v>126</v>
      </c>
      <c r="G10" s="8"/>
      <c r="H10" s="8"/>
      <c r="I10" s="8"/>
    </row>
    <row r="11" customFormat="false" ht="15" hidden="false" customHeight="false" outlineLevel="0" collapsed="false">
      <c r="A11" s="8"/>
      <c r="B11" s="8"/>
      <c r="C11" s="8"/>
      <c r="D11" s="8"/>
      <c r="E11" s="8"/>
      <c r="F11" s="8" t="s">
        <v>126</v>
      </c>
      <c r="G11" s="8"/>
      <c r="H11" s="8"/>
      <c r="I11" s="8"/>
    </row>
    <row r="12" customFormat="false" ht="15" hidden="false" customHeight="false" outlineLevel="0" collapsed="false">
      <c r="A12" s="8"/>
      <c r="B12" s="8"/>
      <c r="C12" s="8"/>
      <c r="D12" s="8"/>
      <c r="E12" s="8"/>
      <c r="F12" s="8" t="s">
        <v>126</v>
      </c>
      <c r="G12" s="8"/>
      <c r="H12" s="8"/>
      <c r="I12" s="8"/>
    </row>
    <row r="13" customFormat="false" ht="15" hidden="false" customHeight="false" outlineLevel="0" collapsed="false">
      <c r="A13" s="8"/>
      <c r="B13" s="8"/>
      <c r="C13" s="8"/>
      <c r="D13" s="8"/>
      <c r="E13" s="8"/>
      <c r="F13" s="8" t="s">
        <v>126</v>
      </c>
      <c r="G13" s="8"/>
      <c r="H13" s="8"/>
      <c r="I13" s="8"/>
    </row>
    <row r="14" customFormat="false" ht="15" hidden="false" customHeight="false" outlineLevel="0" collapsed="false">
      <c r="A14" s="8"/>
      <c r="B14" s="8"/>
      <c r="C14" s="8"/>
      <c r="D14" s="8"/>
      <c r="E14" s="8"/>
      <c r="F14" s="8" t="s">
        <v>126</v>
      </c>
      <c r="G14" s="8"/>
      <c r="H14" s="8"/>
      <c r="I14" s="8"/>
    </row>
    <row r="15" customFormat="false" ht="15" hidden="false" customHeight="false" outlineLevel="0" collapsed="false">
      <c r="A15" s="8"/>
      <c r="B15" s="8"/>
      <c r="C15" s="8"/>
      <c r="D15" s="8"/>
      <c r="E15" s="8"/>
      <c r="F15" s="8" t="s">
        <v>126</v>
      </c>
      <c r="G15" s="8"/>
      <c r="H15" s="8"/>
      <c r="I15" s="8"/>
    </row>
    <row r="16" customFormat="false" ht="15" hidden="false" customHeight="false" outlineLevel="0" collapsed="false">
      <c r="A16" s="8"/>
      <c r="B16" s="8"/>
      <c r="C16" s="8"/>
      <c r="D16" s="8"/>
      <c r="E16" s="8"/>
      <c r="F16" s="8" t="s">
        <v>126</v>
      </c>
      <c r="G16" s="8"/>
      <c r="H16" s="8"/>
      <c r="I16" s="8"/>
    </row>
    <row r="17" customFormat="false" ht="15" hidden="false" customHeight="false" outlineLevel="0" collapsed="false">
      <c r="A17" s="8"/>
      <c r="B17" s="8"/>
      <c r="C17" s="8"/>
      <c r="D17" s="8"/>
      <c r="E17" s="8"/>
      <c r="F17" s="8" t="s">
        <v>126</v>
      </c>
      <c r="G17" s="8"/>
      <c r="H17" s="8"/>
      <c r="I17" s="8"/>
    </row>
    <row r="18" customFormat="false" ht="15" hidden="false" customHeight="false" outlineLevel="0" collapsed="false">
      <c r="A18" s="8"/>
      <c r="B18" s="8"/>
      <c r="C18" s="8"/>
      <c r="D18" s="8"/>
      <c r="E18" s="8"/>
      <c r="F18" s="8" t="s">
        <v>126</v>
      </c>
      <c r="G18" s="8"/>
      <c r="H18" s="8"/>
      <c r="I18" s="8"/>
    </row>
    <row r="19" customFormat="false" ht="15" hidden="false" customHeight="false" outlineLevel="0" collapsed="false">
      <c r="A19" s="8"/>
      <c r="B19" s="8"/>
      <c r="C19" s="8"/>
      <c r="D19" s="8"/>
      <c r="E19" s="8"/>
      <c r="F19" s="8" t="s">
        <v>126</v>
      </c>
      <c r="G19" s="8"/>
      <c r="H19" s="8"/>
      <c r="I19" s="8"/>
    </row>
    <row r="20" customFormat="false" ht="15" hidden="false" customHeight="false" outlineLevel="0" collapsed="false">
      <c r="A20" s="8"/>
      <c r="B20" s="8"/>
      <c r="C20" s="8"/>
      <c r="D20" s="8"/>
      <c r="E20" s="8"/>
      <c r="F20" s="8" t="s">
        <v>126</v>
      </c>
      <c r="G20" s="8"/>
      <c r="H20" s="8"/>
      <c r="I20" s="8"/>
    </row>
    <row r="21" customFormat="false" ht="15" hidden="false" customHeight="false" outlineLevel="0" collapsed="false">
      <c r="A21" s="8"/>
      <c r="B21" s="8"/>
      <c r="C21" s="8"/>
      <c r="D21" s="8"/>
      <c r="E21" s="8"/>
      <c r="F21" s="8" t="s">
        <v>126</v>
      </c>
      <c r="G21" s="8"/>
      <c r="H21" s="8"/>
      <c r="I21" s="8"/>
    </row>
    <row r="22" customFormat="false" ht="15" hidden="false" customHeight="false" outlineLevel="0" collapsed="false">
      <c r="A22" s="8"/>
      <c r="B22" s="8"/>
      <c r="C22" s="8"/>
      <c r="D22" s="8"/>
      <c r="E22" s="8"/>
      <c r="F22" s="8" t="s">
        <v>126</v>
      </c>
      <c r="G22" s="8"/>
      <c r="H22" s="8"/>
      <c r="I22" s="8"/>
    </row>
    <row r="23" customFormat="false" ht="15" hidden="false" customHeight="false" outlineLevel="0" collapsed="false">
      <c r="A23" s="8"/>
      <c r="B23" s="8"/>
      <c r="C23" s="8"/>
      <c r="D23" s="8"/>
      <c r="E23" s="8"/>
      <c r="F23" s="8" t="s">
        <v>126</v>
      </c>
      <c r="G23" s="8"/>
      <c r="H23" s="8"/>
      <c r="I23" s="8"/>
    </row>
  </sheetData>
  <mergeCells count="1">
    <mergeCell ref="A1:I1"/>
  </mergeCells>
  <conditionalFormatting sqref="F4:F23">
    <cfRule type="expression" priority="2" aboveAverage="0" equalAverage="0" bottom="0" percent="0" rank="0" text="" dxfId="0">
      <formula>F4="Completed"</formula>
    </cfRule>
    <cfRule type="expression" priority="3" aboveAverage="0" equalAverage="0" bottom="0" percent="0" rank="0" text="" dxfId="1">
      <formula>F4="Blocked"</formula>
    </cfRule>
  </conditionalFormatting>
  <dataValidations count="1">
    <dataValidation allowBlank="false" errorStyle="stop" operator="between" showDropDown="false" showErrorMessage="false" showInputMessage="false" sqref="F4:F23" type="list">
      <formula1>"Not Started,In Progress,Completed,Blocked"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34"/>
    <col collapsed="false" customWidth="true" hidden="false" outlineLevel="0" max="4" min="4" style="0" width="22"/>
    <col collapsed="false" customWidth="true" hidden="false" outlineLevel="0" max="5" min="5" style="0" width="40"/>
    <col collapsed="false" customWidth="true" hidden="false" outlineLevel="0" max="6" min="6" style="0" width="28"/>
    <col collapsed="false" customWidth="true" hidden="false" outlineLevel="0" max="7" min="7" style="0" width="23"/>
    <col collapsed="false" customWidth="true" hidden="false" outlineLevel="0" max="8" min="8" style="0" width="32"/>
  </cols>
  <sheetData>
    <row r="1" customFormat="false" ht="33.75" hidden="false" customHeight="true" outlineLevel="0" collapsed="false">
      <c r="A1" s="1" t="s">
        <v>245</v>
      </c>
      <c r="B1" s="1"/>
      <c r="C1" s="1"/>
      <c r="D1" s="1"/>
      <c r="E1" s="1"/>
      <c r="F1" s="1"/>
      <c r="G1" s="1"/>
      <c r="H1" s="1"/>
    </row>
    <row r="3" customFormat="false" ht="30" hidden="false" customHeight="true" outlineLevel="0" collapsed="false">
      <c r="A3" s="3" t="s">
        <v>246</v>
      </c>
      <c r="B3" s="3" t="s">
        <v>247</v>
      </c>
      <c r="C3" s="3" t="s">
        <v>248</v>
      </c>
      <c r="D3" s="3" t="s">
        <v>249</v>
      </c>
      <c r="E3" s="3" t="s">
        <v>250</v>
      </c>
      <c r="F3" s="3" t="s">
        <v>251</v>
      </c>
      <c r="G3" s="3" t="s">
        <v>252</v>
      </c>
      <c r="H3" s="3" t="s">
        <v>253</v>
      </c>
    </row>
    <row r="4" customFormat="false" ht="41.75" hidden="false" customHeight="false" outlineLevel="0" collapsed="false">
      <c r="A4" s="8" t="s">
        <v>254</v>
      </c>
      <c r="B4" s="8" t="s">
        <v>89</v>
      </c>
      <c r="C4" s="8" t="s">
        <v>255</v>
      </c>
      <c r="D4" s="8" t="s">
        <v>256</v>
      </c>
      <c r="E4" s="8" t="s">
        <v>257</v>
      </c>
      <c r="F4" s="8" t="s">
        <v>258</v>
      </c>
      <c r="G4" s="8" t="s">
        <v>91</v>
      </c>
      <c r="H4" s="8" t="s">
        <v>259</v>
      </c>
    </row>
    <row r="5" customFormat="false" ht="28.35" hidden="false" customHeight="false" outlineLevel="0" collapsed="false">
      <c r="A5" s="8" t="s">
        <v>260</v>
      </c>
      <c r="B5" s="8" t="s">
        <v>65</v>
      </c>
      <c r="C5" s="8" t="s">
        <v>261</v>
      </c>
      <c r="D5" s="8" t="s">
        <v>256</v>
      </c>
      <c r="E5" s="8" t="s">
        <v>154</v>
      </c>
      <c r="F5" s="8" t="s">
        <v>262</v>
      </c>
      <c r="G5" s="8" t="s">
        <v>91</v>
      </c>
      <c r="H5" s="8" t="s">
        <v>263</v>
      </c>
    </row>
    <row r="6" customFormat="false" ht="28.35" hidden="false" customHeight="false" outlineLevel="0" collapsed="false">
      <c r="A6" s="8" t="s">
        <v>264</v>
      </c>
      <c r="B6" s="8" t="s">
        <v>100</v>
      </c>
      <c r="C6" s="8" t="s">
        <v>265</v>
      </c>
      <c r="D6" s="8" t="s">
        <v>266</v>
      </c>
      <c r="E6" s="8" t="s">
        <v>120</v>
      </c>
      <c r="F6" s="8" t="s">
        <v>267</v>
      </c>
      <c r="G6" s="8" t="s">
        <v>91</v>
      </c>
      <c r="H6" s="8" t="s">
        <v>268</v>
      </c>
    </row>
    <row r="7" customFormat="false" ht="41.75" hidden="false" customHeight="false" outlineLevel="0" collapsed="false">
      <c r="A7" s="8" t="s">
        <v>269</v>
      </c>
      <c r="B7" s="8" t="s">
        <v>89</v>
      </c>
      <c r="C7" s="8" t="s">
        <v>270</v>
      </c>
      <c r="D7" s="8" t="s">
        <v>256</v>
      </c>
      <c r="E7" s="8" t="s">
        <v>169</v>
      </c>
      <c r="F7" s="8" t="s">
        <v>271</v>
      </c>
      <c r="G7" s="8" t="s">
        <v>91</v>
      </c>
      <c r="H7" s="8" t="s">
        <v>272</v>
      </c>
    </row>
    <row r="8" customFormat="false" ht="15" hidden="false" customHeight="false" outlineLevel="0" collapsed="false">
      <c r="A8" s="8" t="s">
        <v>273</v>
      </c>
      <c r="B8" s="8" t="s">
        <v>89</v>
      </c>
      <c r="C8" s="8" t="s">
        <v>274</v>
      </c>
      <c r="D8" s="8" t="s">
        <v>275</v>
      </c>
      <c r="E8" s="8" t="s">
        <v>276</v>
      </c>
      <c r="F8" s="8" t="s">
        <v>267</v>
      </c>
      <c r="G8" s="8" t="s">
        <v>277</v>
      </c>
      <c r="H8" s="8" t="s">
        <v>278</v>
      </c>
    </row>
    <row r="9" customFormat="false" ht="15" hidden="false" customHeight="false" outlineLevel="0" collapsed="false">
      <c r="A9" s="8" t="s">
        <v>279</v>
      </c>
      <c r="B9" s="8" t="s">
        <v>76</v>
      </c>
      <c r="C9" s="8" t="s">
        <v>280</v>
      </c>
      <c r="D9" s="8" t="s">
        <v>275</v>
      </c>
      <c r="E9" s="8" t="s">
        <v>276</v>
      </c>
      <c r="F9" s="8" t="s">
        <v>267</v>
      </c>
      <c r="G9" s="8" t="s">
        <v>281</v>
      </c>
      <c r="H9" s="8" t="s">
        <v>278</v>
      </c>
    </row>
    <row r="10" customFormat="false" ht="28.35" hidden="false" customHeight="false" outlineLevel="0" collapsed="false">
      <c r="A10" s="8" t="s">
        <v>282</v>
      </c>
      <c r="B10" s="8" t="s">
        <v>100</v>
      </c>
      <c r="C10" s="8" t="s">
        <v>283</v>
      </c>
      <c r="D10" s="8" t="s">
        <v>284</v>
      </c>
      <c r="E10" s="8" t="s">
        <v>285</v>
      </c>
      <c r="F10" s="8" t="s">
        <v>286</v>
      </c>
      <c r="G10" s="8" t="s">
        <v>287</v>
      </c>
      <c r="H10" s="8" t="s">
        <v>288</v>
      </c>
    </row>
    <row r="11" customFormat="false" ht="28.35" hidden="false" customHeight="false" outlineLevel="0" collapsed="false">
      <c r="A11" s="8" t="s">
        <v>289</v>
      </c>
      <c r="B11" s="8" t="s">
        <v>65</v>
      </c>
      <c r="C11" s="8" t="s">
        <v>290</v>
      </c>
      <c r="D11" s="8" t="s">
        <v>291</v>
      </c>
      <c r="E11" s="8" t="s">
        <v>292</v>
      </c>
      <c r="F11" s="8" t="s">
        <v>293</v>
      </c>
      <c r="G11" s="8" t="s">
        <v>78</v>
      </c>
      <c r="H11" s="8" t="s">
        <v>294</v>
      </c>
    </row>
    <row r="12" customFormat="false" ht="15" hidden="false" customHeight="false" outlineLevel="0" collapsed="false">
      <c r="A12" s="8" t="s">
        <v>295</v>
      </c>
      <c r="B12" s="8" t="s">
        <v>123</v>
      </c>
      <c r="C12" s="8" t="s">
        <v>296</v>
      </c>
      <c r="D12" s="8" t="s">
        <v>275</v>
      </c>
      <c r="E12" s="8" t="s">
        <v>297</v>
      </c>
      <c r="F12" s="8" t="s">
        <v>298</v>
      </c>
      <c r="G12" s="8" t="s">
        <v>125</v>
      </c>
      <c r="H12" s="8"/>
    </row>
    <row r="13" customFormat="false" ht="15" hidden="false" customHeight="false" outlineLevel="0" collapsed="false">
      <c r="A13" s="8"/>
      <c r="B13" s="8"/>
      <c r="C13" s="8"/>
      <c r="D13" s="8"/>
      <c r="E13" s="8"/>
      <c r="F13" s="8"/>
      <c r="G13" s="8"/>
      <c r="H13" s="8"/>
    </row>
    <row r="14" customFormat="false" ht="15" hidden="false" customHeight="false" outlineLevel="0" collapsed="false">
      <c r="A14" s="8"/>
      <c r="B14" s="8"/>
      <c r="C14" s="8"/>
      <c r="D14" s="8"/>
      <c r="E14" s="8"/>
      <c r="F14" s="8"/>
      <c r="G14" s="8"/>
      <c r="H14" s="8"/>
    </row>
    <row r="15" customFormat="false" ht="15" hidden="false" customHeight="false" outlineLevel="0" collapsed="false">
      <c r="A15" s="8"/>
      <c r="B15" s="8"/>
      <c r="C15" s="8"/>
      <c r="D15" s="8"/>
      <c r="E15" s="8"/>
      <c r="F15" s="8"/>
      <c r="G15" s="8"/>
      <c r="H15" s="8"/>
    </row>
    <row r="16" customFormat="false" ht="15" hidden="false" customHeight="false" outlineLevel="0" collapsed="false">
      <c r="A16" s="8"/>
      <c r="B16" s="8"/>
      <c r="C16" s="8"/>
      <c r="D16" s="8"/>
      <c r="E16" s="8"/>
      <c r="F16" s="8"/>
      <c r="G16" s="8"/>
      <c r="H16" s="8"/>
    </row>
    <row r="17" customFormat="false" ht="15" hidden="false" customHeight="false" outlineLevel="0" collapsed="false">
      <c r="A17" s="8"/>
      <c r="B17" s="8"/>
      <c r="C17" s="8"/>
      <c r="D17" s="8"/>
      <c r="E17" s="8"/>
      <c r="F17" s="8"/>
      <c r="G17" s="8"/>
      <c r="H17" s="8"/>
    </row>
    <row r="18" customFormat="false" ht="15" hidden="false" customHeight="false" outlineLevel="0" collapsed="false">
      <c r="A18" s="8"/>
      <c r="B18" s="8"/>
      <c r="C18" s="8"/>
      <c r="D18" s="8"/>
      <c r="E18" s="8"/>
      <c r="F18" s="8"/>
      <c r="G18" s="8"/>
      <c r="H18" s="8"/>
    </row>
    <row r="19" customFormat="false" ht="15" hidden="false" customHeight="false" outlineLevel="0" collapsed="false">
      <c r="A19" s="8"/>
      <c r="B19" s="8"/>
      <c r="C19" s="8"/>
      <c r="D19" s="8"/>
      <c r="E19" s="8"/>
      <c r="F19" s="8"/>
      <c r="G19" s="8"/>
      <c r="H19" s="8"/>
    </row>
    <row r="20" customFormat="false" ht="15" hidden="false" customHeight="false" outlineLevel="0" collapsed="false">
      <c r="A20" s="8"/>
      <c r="B20" s="8"/>
      <c r="C20" s="8"/>
      <c r="D20" s="8"/>
      <c r="E20" s="8"/>
      <c r="F20" s="8"/>
      <c r="G20" s="8"/>
      <c r="H20" s="8"/>
    </row>
    <row r="21" customFormat="false" ht="15" hidden="false" customHeight="false" outlineLevel="0" collapsed="false">
      <c r="A21" s="8"/>
      <c r="B21" s="8"/>
      <c r="C21" s="8"/>
      <c r="D21" s="8"/>
      <c r="E21" s="8"/>
      <c r="F21" s="8"/>
      <c r="G21" s="8"/>
      <c r="H21" s="8"/>
    </row>
    <row r="22" customFormat="false" ht="15" hidden="false" customHeight="false" outlineLevel="0" collapsed="false">
      <c r="A22" s="8"/>
      <c r="B22" s="8"/>
      <c r="C22" s="8"/>
      <c r="D22" s="8"/>
      <c r="E22" s="8"/>
      <c r="F22" s="8"/>
      <c r="G22" s="8"/>
      <c r="H22" s="8"/>
    </row>
    <row r="23" customFormat="false" ht="15" hidden="false" customHeight="false" outlineLevel="0" collapsed="false">
      <c r="A23" s="8"/>
      <c r="B23" s="8"/>
      <c r="C23" s="8"/>
      <c r="D23" s="8"/>
      <c r="E23" s="8"/>
      <c r="F23" s="8"/>
      <c r="G23" s="8"/>
      <c r="H23" s="8"/>
    </row>
    <row r="24" customFormat="false" ht="15" hidden="false" customHeight="false" outlineLevel="0" collapsed="false">
      <c r="A24" s="8"/>
      <c r="B24" s="8"/>
      <c r="C24" s="8"/>
      <c r="D24" s="8"/>
      <c r="E24" s="8"/>
      <c r="F24" s="8"/>
      <c r="G24" s="8"/>
      <c r="H24" s="8"/>
    </row>
    <row r="25" customFormat="false" ht="15" hidden="false" customHeight="false" outlineLevel="0" collapsed="false">
      <c r="A25" s="8"/>
      <c r="B25" s="8"/>
      <c r="C25" s="8"/>
      <c r="D25" s="8"/>
      <c r="E25" s="8"/>
      <c r="F25" s="8"/>
      <c r="G25" s="8"/>
      <c r="H25" s="8"/>
    </row>
    <row r="26" customFormat="false" ht="15" hidden="false" customHeight="false" outlineLevel="0" collapsed="false">
      <c r="A26" s="8"/>
      <c r="B26" s="8"/>
      <c r="C26" s="8"/>
      <c r="D26" s="8"/>
      <c r="E26" s="8"/>
      <c r="F26" s="8"/>
      <c r="G26" s="8"/>
      <c r="H26" s="8"/>
    </row>
    <row r="27" customFormat="false" ht="15" hidden="false" customHeight="false" outlineLevel="0" collapsed="false">
      <c r="A27" s="8"/>
      <c r="B27" s="8"/>
      <c r="C27" s="8"/>
      <c r="D27" s="8"/>
      <c r="E27" s="8"/>
      <c r="F27" s="8"/>
      <c r="G27" s="8"/>
      <c r="H27" s="8"/>
    </row>
    <row r="28" customFormat="false" ht="15" hidden="false" customHeight="false" outlineLevel="0" collapsed="false">
      <c r="A28" s="8"/>
      <c r="B28" s="8"/>
      <c r="C28" s="8"/>
      <c r="D28" s="8"/>
      <c r="E28" s="8"/>
      <c r="F28" s="8"/>
      <c r="G28" s="8"/>
      <c r="H28" s="8"/>
    </row>
    <row r="29" customFormat="false" ht="15" hidden="false" customHeight="false" outlineLevel="0" collapsed="false">
      <c r="A29" s="8"/>
      <c r="B29" s="8"/>
      <c r="C29" s="8"/>
      <c r="D29" s="8"/>
      <c r="E29" s="8"/>
      <c r="F29" s="8"/>
      <c r="G29" s="8"/>
      <c r="H29" s="8"/>
    </row>
    <row r="30" customFormat="false" ht="15" hidden="false" customHeight="false" outlineLevel="0" collapsed="false">
      <c r="A30" s="8"/>
      <c r="B30" s="8"/>
      <c r="C30" s="8"/>
      <c r="D30" s="8"/>
      <c r="E30" s="8"/>
      <c r="F30" s="8"/>
      <c r="G30" s="8"/>
      <c r="H30" s="8"/>
    </row>
    <row r="31" customFormat="false" ht="15" hidden="false" customHeight="false" outlineLevel="0" collapsed="false">
      <c r="A31" s="8"/>
      <c r="B31" s="8"/>
      <c r="C31" s="8"/>
      <c r="D31" s="8"/>
      <c r="E31" s="8"/>
      <c r="F31" s="8"/>
      <c r="G31" s="8"/>
      <c r="H31" s="8"/>
    </row>
    <row r="32" customFormat="false" ht="15" hidden="false" customHeight="false" outlineLevel="0" collapsed="false">
      <c r="A32" s="8"/>
      <c r="B32" s="8"/>
      <c r="C32" s="8"/>
      <c r="D32" s="8"/>
      <c r="E32" s="8"/>
      <c r="F32" s="8"/>
      <c r="G32" s="8"/>
      <c r="H32" s="8"/>
    </row>
    <row r="33" customFormat="false" ht="15" hidden="false" customHeight="false" outlineLevel="0" collapsed="false">
      <c r="A33" s="8"/>
      <c r="B33" s="8"/>
      <c r="C33" s="8"/>
      <c r="D33" s="8"/>
      <c r="E33" s="8"/>
      <c r="F33" s="8"/>
      <c r="G33" s="8"/>
      <c r="H33" s="8"/>
    </row>
  </sheetData>
  <mergeCells count="1">
    <mergeCell ref="A1:H1"/>
  </mergeCells>
  <dataValidations count="2">
    <dataValidation allowBlank="false" errorStyle="stop" operator="between" showDropDown="false" showErrorMessage="false" showInputMessage="false" sqref="B4:B33" type="list">
      <formula1>"Supabase Backend,Flutter,ASP.NET,Integration,SRS,Microsoft Project,GitHub,Final Demonstration,Other"</formula1>
      <formula2>0</formula2>
    </dataValidation>
    <dataValidation allowBlank="false" errorStyle="stop" operator="between" showDropDown="false" showErrorMessage="false" showInputMessage="false" sqref="D4:D33" type="list">
      <formula1>"Screenshot,Short Recording,GitHub Commit/PR,SRS Section,Supabase Evidence,Other"</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3" min="2" style="0" width="34"/>
    <col collapsed="false" customWidth="true" hidden="false" outlineLevel="0" max="4" min="4" style="0" width="40"/>
    <col collapsed="false" customWidth="true" hidden="false" outlineLevel="0" max="5" min="5" style="0" width="24"/>
    <col collapsed="false" customWidth="true" hidden="false" outlineLevel="0" max="8" min="6" style="0" width="15"/>
    <col collapsed="false" customWidth="true" hidden="false" outlineLevel="0" max="9" min="9" style="0" width="34"/>
  </cols>
  <sheetData>
    <row r="1" customFormat="false" ht="33.75" hidden="false" customHeight="true" outlineLevel="0" collapsed="false">
      <c r="A1" s="1" t="s">
        <v>299</v>
      </c>
      <c r="B1" s="1"/>
      <c r="C1" s="1"/>
      <c r="D1" s="1"/>
      <c r="E1" s="1"/>
      <c r="F1" s="1"/>
      <c r="G1" s="1"/>
      <c r="H1" s="1"/>
      <c r="I1" s="1"/>
    </row>
    <row r="3" customFormat="false" ht="30" hidden="false" customHeight="true" outlineLevel="0" collapsed="false">
      <c r="A3" s="3" t="s">
        <v>300</v>
      </c>
      <c r="B3" s="3" t="s">
        <v>301</v>
      </c>
      <c r="C3" s="3" t="s">
        <v>302</v>
      </c>
      <c r="D3" s="3" t="s">
        <v>303</v>
      </c>
      <c r="E3" s="3" t="s">
        <v>252</v>
      </c>
      <c r="F3" s="3" t="s">
        <v>304</v>
      </c>
      <c r="G3" s="3" t="s">
        <v>60</v>
      </c>
      <c r="H3" s="3" t="s">
        <v>305</v>
      </c>
      <c r="I3" s="3" t="s">
        <v>306</v>
      </c>
    </row>
    <row r="4" customFormat="false" ht="41.75" hidden="false" customHeight="false" outlineLevel="0" collapsed="false">
      <c r="A4" s="8" t="s">
        <v>307</v>
      </c>
      <c r="B4" s="8" t="s">
        <v>308</v>
      </c>
      <c r="C4" s="8" t="s">
        <v>309</v>
      </c>
      <c r="D4" s="8" t="s">
        <v>310</v>
      </c>
      <c r="E4" s="8" t="s">
        <v>78</v>
      </c>
      <c r="F4" s="8" t="s">
        <v>68</v>
      </c>
      <c r="G4" s="8" t="s">
        <v>42</v>
      </c>
      <c r="H4" s="8"/>
      <c r="I4" s="8"/>
    </row>
    <row r="5" customFormat="false" ht="28.35" hidden="false" customHeight="false" outlineLevel="0" collapsed="false">
      <c r="A5" s="8" t="s">
        <v>311</v>
      </c>
      <c r="B5" s="8" t="s">
        <v>312</v>
      </c>
      <c r="C5" s="8" t="s">
        <v>313</v>
      </c>
      <c r="D5" s="8" t="s">
        <v>314</v>
      </c>
      <c r="E5" s="8" t="s">
        <v>78</v>
      </c>
      <c r="F5" s="8" t="s">
        <v>68</v>
      </c>
      <c r="G5" s="8" t="s">
        <v>126</v>
      </c>
      <c r="H5" s="8"/>
      <c r="I5" s="8" t="s">
        <v>315</v>
      </c>
    </row>
    <row r="6" customFormat="false" ht="28.35" hidden="false" customHeight="false" outlineLevel="0" collapsed="false">
      <c r="A6" s="8" t="s">
        <v>316</v>
      </c>
      <c r="B6" s="8" t="s">
        <v>317</v>
      </c>
      <c r="C6" s="8" t="s">
        <v>318</v>
      </c>
      <c r="D6" s="8" t="s">
        <v>319</v>
      </c>
      <c r="E6" s="8" t="s">
        <v>112</v>
      </c>
      <c r="F6" s="8" t="s">
        <v>85</v>
      </c>
      <c r="G6" s="8" t="s">
        <v>126</v>
      </c>
      <c r="H6" s="8"/>
      <c r="I6" s="8" t="s">
        <v>320</v>
      </c>
    </row>
    <row r="7" customFormat="false" ht="28.35" hidden="false" customHeight="false" outlineLevel="0" collapsed="false">
      <c r="A7" s="8" t="s">
        <v>153</v>
      </c>
      <c r="B7" s="8" t="s">
        <v>321</v>
      </c>
      <c r="C7" s="8" t="s">
        <v>322</v>
      </c>
      <c r="D7" s="8" t="s">
        <v>323</v>
      </c>
      <c r="E7" s="8" t="s">
        <v>91</v>
      </c>
      <c r="F7" s="8" t="s">
        <v>85</v>
      </c>
      <c r="G7" s="8" t="s">
        <v>126</v>
      </c>
      <c r="H7" s="8"/>
      <c r="I7" s="8"/>
    </row>
    <row r="8" customFormat="false" ht="28.35" hidden="false" customHeight="false" outlineLevel="0" collapsed="false">
      <c r="A8" s="8" t="s">
        <v>153</v>
      </c>
      <c r="B8" s="8" t="s">
        <v>324</v>
      </c>
      <c r="C8" s="8" t="s">
        <v>325</v>
      </c>
      <c r="D8" s="8" t="s">
        <v>326</v>
      </c>
      <c r="E8" s="8" t="s">
        <v>112</v>
      </c>
      <c r="F8" s="8" t="s">
        <v>68</v>
      </c>
      <c r="G8" s="8" t="s">
        <v>42</v>
      </c>
      <c r="H8" s="8"/>
      <c r="I8" s="8"/>
    </row>
    <row r="9" customFormat="false" ht="28.35" hidden="false" customHeight="false" outlineLevel="0" collapsed="false">
      <c r="A9" s="8" t="s">
        <v>327</v>
      </c>
      <c r="B9" s="8" t="s">
        <v>328</v>
      </c>
      <c r="C9" s="8" t="s">
        <v>329</v>
      </c>
      <c r="D9" s="8" t="s">
        <v>330</v>
      </c>
      <c r="E9" s="8" t="s">
        <v>78</v>
      </c>
      <c r="F9" s="8" t="s">
        <v>85</v>
      </c>
      <c r="G9" s="8" t="s">
        <v>126</v>
      </c>
      <c r="H9" s="8"/>
      <c r="I9" s="8"/>
    </row>
    <row r="10" customFormat="false" ht="28.35" hidden="false" customHeight="false" outlineLevel="0" collapsed="false">
      <c r="A10" s="8" t="s">
        <v>207</v>
      </c>
      <c r="B10" s="8" t="s">
        <v>331</v>
      </c>
      <c r="C10" s="8" t="s">
        <v>332</v>
      </c>
      <c r="D10" s="8" t="s">
        <v>333</v>
      </c>
      <c r="E10" s="8" t="s">
        <v>78</v>
      </c>
      <c r="F10" s="8" t="s">
        <v>79</v>
      </c>
      <c r="G10" s="8" t="s">
        <v>126</v>
      </c>
      <c r="H10" s="8"/>
      <c r="I10" s="8" t="s">
        <v>334</v>
      </c>
    </row>
    <row r="11" customFormat="false" ht="28.35" hidden="false" customHeight="false" outlineLevel="0" collapsed="false">
      <c r="A11" s="8" t="s">
        <v>335</v>
      </c>
      <c r="B11" s="8" t="s">
        <v>336</v>
      </c>
      <c r="C11" s="8" t="s">
        <v>337</v>
      </c>
      <c r="D11" s="8" t="s">
        <v>338</v>
      </c>
      <c r="E11" s="8" t="s">
        <v>78</v>
      </c>
      <c r="F11" s="8" t="s">
        <v>158</v>
      </c>
      <c r="G11" s="8" t="s">
        <v>126</v>
      </c>
      <c r="H11" s="8"/>
      <c r="I11" s="8" t="s">
        <v>339</v>
      </c>
    </row>
    <row r="12" customFormat="false" ht="28.35" hidden="false" customHeight="false" outlineLevel="0" collapsed="false">
      <c r="A12" s="8" t="s">
        <v>316</v>
      </c>
      <c r="B12" s="8" t="s">
        <v>340</v>
      </c>
      <c r="C12" s="8" t="s">
        <v>341</v>
      </c>
      <c r="D12" s="8" t="s">
        <v>342</v>
      </c>
      <c r="E12" s="8" t="s">
        <v>298</v>
      </c>
      <c r="F12" s="8" t="s">
        <v>153</v>
      </c>
      <c r="G12" s="8" t="s">
        <v>40</v>
      </c>
      <c r="H12" s="8" t="s">
        <v>153</v>
      </c>
      <c r="I12" s="8" t="s">
        <v>343</v>
      </c>
    </row>
    <row r="13" customFormat="false" ht="28.35" hidden="false" customHeight="false" outlineLevel="0" collapsed="false">
      <c r="A13" s="8" t="s">
        <v>344</v>
      </c>
      <c r="B13" s="8" t="s">
        <v>345</v>
      </c>
      <c r="C13" s="8" t="s">
        <v>346</v>
      </c>
      <c r="D13" s="8" t="s">
        <v>347</v>
      </c>
      <c r="E13" s="8" t="s">
        <v>78</v>
      </c>
      <c r="F13" s="8" t="s">
        <v>79</v>
      </c>
      <c r="G13" s="8" t="s">
        <v>42</v>
      </c>
      <c r="H13" s="8"/>
      <c r="I13" s="8"/>
    </row>
    <row r="14" customFormat="false" ht="28.35" hidden="false" customHeight="false" outlineLevel="0" collapsed="false">
      <c r="A14" s="8" t="s">
        <v>92</v>
      </c>
      <c r="B14" s="8" t="s">
        <v>348</v>
      </c>
      <c r="C14" s="8" t="s">
        <v>349</v>
      </c>
      <c r="D14" s="8" t="s">
        <v>350</v>
      </c>
      <c r="E14" s="8" t="s">
        <v>91</v>
      </c>
      <c r="F14" s="8" t="s">
        <v>168</v>
      </c>
      <c r="G14" s="8" t="s">
        <v>42</v>
      </c>
      <c r="H14" s="8"/>
      <c r="I14" s="8"/>
    </row>
    <row r="15" customFormat="false" ht="41.75" hidden="false" customHeight="false" outlineLevel="0" collapsed="false">
      <c r="A15" s="8" t="s">
        <v>158</v>
      </c>
      <c r="B15" s="8" t="s">
        <v>351</v>
      </c>
      <c r="C15" s="8" t="s">
        <v>352</v>
      </c>
      <c r="D15" s="8" t="s">
        <v>353</v>
      </c>
      <c r="E15" s="8" t="s">
        <v>91</v>
      </c>
      <c r="F15" s="8" t="s">
        <v>354</v>
      </c>
      <c r="G15" s="8" t="s">
        <v>42</v>
      </c>
      <c r="H15" s="8"/>
      <c r="I15" s="8"/>
    </row>
    <row r="16" customFormat="false" ht="28.35" hidden="false" customHeight="false" outlineLevel="0" collapsed="false">
      <c r="A16" s="8" t="s">
        <v>207</v>
      </c>
      <c r="B16" s="8" t="s">
        <v>355</v>
      </c>
      <c r="C16" s="8" t="s">
        <v>356</v>
      </c>
      <c r="D16" s="8" t="s">
        <v>357</v>
      </c>
      <c r="E16" s="8" t="s">
        <v>91</v>
      </c>
      <c r="F16" s="8" t="s">
        <v>136</v>
      </c>
      <c r="G16" s="8" t="s">
        <v>42</v>
      </c>
      <c r="H16" s="8"/>
      <c r="I16" s="8" t="s">
        <v>358</v>
      </c>
    </row>
    <row r="17" customFormat="false" ht="15" hidden="false" customHeight="false" outlineLevel="0" collapsed="false">
      <c r="A17" s="8"/>
      <c r="B17" s="8"/>
      <c r="C17" s="8"/>
      <c r="D17" s="8"/>
      <c r="E17" s="8"/>
      <c r="F17" s="8"/>
      <c r="G17" s="8" t="s">
        <v>126</v>
      </c>
      <c r="H17" s="8"/>
      <c r="I17" s="8"/>
    </row>
    <row r="18" customFormat="false" ht="15" hidden="false" customHeight="false" outlineLevel="0" collapsed="false">
      <c r="A18" s="8"/>
      <c r="B18" s="8"/>
      <c r="C18" s="8"/>
      <c r="D18" s="8"/>
      <c r="E18" s="8"/>
      <c r="F18" s="8"/>
      <c r="G18" s="8" t="s">
        <v>126</v>
      </c>
      <c r="H18" s="8"/>
      <c r="I18" s="8"/>
    </row>
    <row r="19" customFormat="false" ht="15" hidden="false" customHeight="false" outlineLevel="0" collapsed="false">
      <c r="A19" s="8"/>
      <c r="B19" s="8"/>
      <c r="C19" s="8"/>
      <c r="D19" s="8"/>
      <c r="E19" s="8"/>
      <c r="F19" s="8"/>
      <c r="G19" s="8" t="s">
        <v>126</v>
      </c>
      <c r="H19" s="8"/>
      <c r="I19" s="8"/>
    </row>
    <row r="20" customFormat="false" ht="15" hidden="false" customHeight="false" outlineLevel="0" collapsed="false">
      <c r="A20" s="8"/>
      <c r="B20" s="8"/>
      <c r="C20" s="8"/>
      <c r="D20" s="8"/>
      <c r="E20" s="8"/>
      <c r="F20" s="8"/>
      <c r="G20" s="8" t="s">
        <v>126</v>
      </c>
      <c r="H20" s="8"/>
      <c r="I20" s="8"/>
    </row>
    <row r="21" customFormat="false" ht="15" hidden="false" customHeight="false" outlineLevel="0" collapsed="false">
      <c r="A21" s="8"/>
      <c r="B21" s="8"/>
      <c r="C21" s="8"/>
      <c r="D21" s="8"/>
      <c r="E21" s="8"/>
      <c r="F21" s="8"/>
      <c r="G21" s="8" t="s">
        <v>126</v>
      </c>
      <c r="H21" s="8"/>
      <c r="I21" s="8"/>
    </row>
    <row r="22" customFormat="false" ht="15" hidden="false" customHeight="false" outlineLevel="0" collapsed="false">
      <c r="A22" s="8"/>
      <c r="B22" s="8"/>
      <c r="C22" s="8"/>
      <c r="D22" s="8"/>
      <c r="E22" s="8"/>
      <c r="F22" s="8"/>
      <c r="G22" s="8" t="s">
        <v>126</v>
      </c>
      <c r="H22" s="8"/>
      <c r="I22" s="8"/>
    </row>
    <row r="23" customFormat="false" ht="15" hidden="false" customHeight="false" outlineLevel="0" collapsed="false">
      <c r="A23" s="8"/>
      <c r="B23" s="8"/>
      <c r="C23" s="8"/>
      <c r="D23" s="8"/>
      <c r="E23" s="8"/>
      <c r="F23" s="8"/>
      <c r="G23" s="8" t="s">
        <v>126</v>
      </c>
      <c r="H23" s="8"/>
      <c r="I23" s="8"/>
    </row>
    <row r="24" customFormat="false" ht="15" hidden="false" customHeight="false" outlineLevel="0" collapsed="false">
      <c r="A24" s="8"/>
      <c r="B24" s="8"/>
      <c r="C24" s="8"/>
      <c r="D24" s="8"/>
      <c r="E24" s="8"/>
      <c r="F24" s="8"/>
      <c r="G24" s="8" t="s">
        <v>126</v>
      </c>
      <c r="H24" s="8"/>
      <c r="I24" s="8"/>
    </row>
    <row r="25" customFormat="false" ht="15" hidden="false" customHeight="false" outlineLevel="0" collapsed="false">
      <c r="A25" s="8"/>
      <c r="B25" s="8"/>
      <c r="C25" s="8"/>
      <c r="D25" s="8"/>
      <c r="E25" s="8"/>
      <c r="F25" s="8"/>
      <c r="G25" s="8" t="s">
        <v>126</v>
      </c>
      <c r="H25" s="8"/>
      <c r="I25" s="8"/>
    </row>
    <row r="26" customFormat="false" ht="15" hidden="false" customHeight="false" outlineLevel="0" collapsed="false">
      <c r="A26" s="8"/>
      <c r="B26" s="8"/>
      <c r="C26" s="8"/>
      <c r="D26" s="8"/>
      <c r="E26" s="8"/>
      <c r="F26" s="8"/>
      <c r="G26" s="8" t="s">
        <v>126</v>
      </c>
      <c r="H26" s="8"/>
      <c r="I26" s="8"/>
    </row>
    <row r="27" customFormat="false" ht="15" hidden="false" customHeight="false" outlineLevel="0" collapsed="false">
      <c r="A27" s="8"/>
      <c r="B27" s="8"/>
      <c r="C27" s="8"/>
      <c r="D27" s="8"/>
      <c r="E27" s="8"/>
      <c r="F27" s="8"/>
      <c r="G27" s="8" t="s">
        <v>126</v>
      </c>
      <c r="H27" s="8"/>
      <c r="I27" s="8"/>
    </row>
    <row r="28" customFormat="false" ht="15" hidden="false" customHeight="false" outlineLevel="0" collapsed="false">
      <c r="A28" s="8"/>
      <c r="B28" s="8"/>
      <c r="C28" s="8"/>
      <c r="D28" s="8"/>
      <c r="E28" s="8"/>
      <c r="F28" s="8"/>
      <c r="G28" s="8" t="s">
        <v>126</v>
      </c>
      <c r="H28" s="8"/>
      <c r="I28" s="8"/>
    </row>
    <row r="29" customFormat="false" ht="15" hidden="false" customHeight="false" outlineLevel="0" collapsed="false">
      <c r="A29" s="8"/>
      <c r="B29" s="8"/>
      <c r="C29" s="8"/>
      <c r="D29" s="8"/>
      <c r="E29" s="8"/>
      <c r="F29" s="8"/>
      <c r="G29" s="8" t="s">
        <v>126</v>
      </c>
      <c r="H29" s="8"/>
      <c r="I29" s="8"/>
    </row>
    <row r="30" customFormat="false" ht="15" hidden="false" customHeight="false" outlineLevel="0" collapsed="false">
      <c r="A30" s="8"/>
      <c r="B30" s="8"/>
      <c r="C30" s="8"/>
      <c r="D30" s="8"/>
      <c r="E30" s="8"/>
      <c r="F30" s="8"/>
      <c r="G30" s="8" t="s">
        <v>126</v>
      </c>
      <c r="H30" s="8"/>
      <c r="I30" s="8"/>
    </row>
    <row r="31" customFormat="false" ht="15" hidden="false" customHeight="false" outlineLevel="0" collapsed="false">
      <c r="A31" s="8"/>
      <c r="B31" s="8"/>
      <c r="C31" s="8"/>
      <c r="D31" s="8"/>
      <c r="E31" s="8"/>
      <c r="F31" s="8"/>
      <c r="G31" s="8" t="s">
        <v>126</v>
      </c>
      <c r="H31" s="8"/>
      <c r="I31" s="8"/>
    </row>
    <row r="32" customFormat="false" ht="15" hidden="false" customHeight="false" outlineLevel="0" collapsed="false">
      <c r="A32" s="8"/>
      <c r="B32" s="8"/>
      <c r="C32" s="8"/>
      <c r="D32" s="8"/>
      <c r="E32" s="8"/>
      <c r="F32" s="8"/>
      <c r="G32" s="8" t="s">
        <v>126</v>
      </c>
      <c r="H32" s="8"/>
      <c r="I32" s="8"/>
    </row>
    <row r="33" customFormat="false" ht="15" hidden="false" customHeight="false" outlineLevel="0" collapsed="false">
      <c r="A33" s="8"/>
      <c r="B33" s="8"/>
      <c r="C33" s="8"/>
      <c r="D33" s="8"/>
      <c r="E33" s="8"/>
      <c r="F33" s="8"/>
      <c r="G33" s="8" t="s">
        <v>126</v>
      </c>
      <c r="H33" s="8"/>
      <c r="I33" s="8"/>
    </row>
  </sheetData>
  <mergeCells count="1">
    <mergeCell ref="A1:I1"/>
  </mergeCells>
  <conditionalFormatting sqref="G4:G33">
    <cfRule type="expression" priority="2" aboveAverage="0" equalAverage="0" bottom="0" percent="0" rank="0" text="" dxfId="0">
      <formula>G4="Completed"</formula>
    </cfRule>
    <cfRule type="expression" priority="3" aboveAverage="0" equalAverage="0" bottom="0" percent="0" rank="0" text="" dxfId="1">
      <formula>G4="Blocked"</formula>
    </cfRule>
  </conditionalFormatting>
  <dataValidations count="1">
    <dataValidation allowBlank="false" errorStyle="stop" operator="between" showDropDown="false" showErrorMessage="false" showInputMessage="false" sqref="G4:G33" type="list">
      <formula1>"Not Started,In Progress,Completed,Blocked"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34"/>
    <col collapsed="false" customWidth="true" hidden="false" outlineLevel="0" max="4" min="4" style="0" width="4"/>
    <col collapsed="false" customWidth="true" hidden="false" outlineLevel="0" max="5" min="5" style="0" width="40"/>
    <col collapsed="false" customWidth="true" hidden="false" outlineLevel="0" max="6" min="6" style="0" width="14"/>
  </cols>
  <sheetData>
    <row r="1" customFormat="false" ht="33.75" hidden="false" customHeight="true" outlineLevel="0" collapsed="false">
      <c r="A1" s="1" t="s">
        <v>359</v>
      </c>
      <c r="B1" s="1"/>
      <c r="C1" s="1"/>
      <c r="D1" s="1"/>
      <c r="E1" s="1"/>
      <c r="F1" s="1"/>
    </row>
    <row r="3" customFormat="false" ht="30" hidden="false" customHeight="true" outlineLevel="0" collapsed="false">
      <c r="A3" s="7" t="s">
        <v>48</v>
      </c>
      <c r="B3" s="8" t="s">
        <v>360</v>
      </c>
      <c r="C3" s="8"/>
      <c r="E3" s="3" t="s">
        <v>361</v>
      </c>
      <c r="F3" s="3" t="s">
        <v>362</v>
      </c>
    </row>
    <row r="4" customFormat="false" ht="15" hidden="false" customHeight="true" outlineLevel="0" collapsed="false">
      <c r="A4" s="7" t="s">
        <v>50</v>
      </c>
      <c r="B4" s="8" t="s">
        <v>42</v>
      </c>
      <c r="C4" s="8"/>
      <c r="E4" s="0" t="s">
        <v>363</v>
      </c>
      <c r="F4" s="8" t="s">
        <v>199</v>
      </c>
    </row>
    <row r="5" customFormat="false" ht="55.2" hidden="false" customHeight="true" outlineLevel="0" collapsed="false">
      <c r="A5" s="7" t="s">
        <v>364</v>
      </c>
      <c r="B5" s="8" t="s">
        <v>365</v>
      </c>
      <c r="C5" s="8"/>
      <c r="E5" s="0" t="s">
        <v>366</v>
      </c>
      <c r="F5" s="8" t="s">
        <v>367</v>
      </c>
    </row>
    <row r="6" customFormat="false" ht="55.2" hidden="false" customHeight="true" outlineLevel="0" collapsed="false">
      <c r="A6" s="7" t="s">
        <v>368</v>
      </c>
      <c r="B6" s="8" t="s">
        <v>369</v>
      </c>
      <c r="C6" s="8"/>
      <c r="E6" s="0" t="s">
        <v>370</v>
      </c>
      <c r="F6" s="8" t="s">
        <v>367</v>
      </c>
    </row>
    <row r="7" customFormat="false" ht="41.75" hidden="false" customHeight="true" outlineLevel="0" collapsed="false">
      <c r="A7" s="7" t="s">
        <v>371</v>
      </c>
      <c r="B7" s="8" t="s">
        <v>372</v>
      </c>
      <c r="C7" s="8"/>
      <c r="E7" s="0" t="s">
        <v>373</v>
      </c>
      <c r="F7" s="8" t="s">
        <v>199</v>
      </c>
    </row>
    <row r="8" customFormat="false" ht="28.35" hidden="false" customHeight="true" outlineLevel="0" collapsed="false">
      <c r="A8" s="7" t="s">
        <v>374</v>
      </c>
      <c r="B8" s="8" t="s">
        <v>375</v>
      </c>
      <c r="C8" s="8"/>
      <c r="E8" s="0" t="s">
        <v>376</v>
      </c>
      <c r="F8" s="8" t="s">
        <v>367</v>
      </c>
    </row>
    <row r="9" customFormat="false" ht="28.35" hidden="false" customHeight="true" outlineLevel="0" collapsed="false">
      <c r="A9" s="7" t="s">
        <v>377</v>
      </c>
      <c r="B9" s="8" t="s">
        <v>378</v>
      </c>
      <c r="C9" s="8"/>
      <c r="E9" s="0" t="s">
        <v>379</v>
      </c>
      <c r="F9" s="8" t="s">
        <v>199</v>
      </c>
    </row>
    <row r="10" customFormat="false" ht="28.35" hidden="false" customHeight="true" outlineLevel="0" collapsed="false">
      <c r="A10" s="7" t="s">
        <v>380</v>
      </c>
      <c r="B10" s="8" t="s">
        <v>199</v>
      </c>
      <c r="C10" s="8"/>
      <c r="E10" s="0" t="s">
        <v>381</v>
      </c>
      <c r="F10" s="8" t="s">
        <v>199</v>
      </c>
    </row>
    <row r="11" customFormat="false" ht="28.35" hidden="false" customHeight="true" outlineLevel="0" collapsed="false">
      <c r="A11" s="7" t="s">
        <v>382</v>
      </c>
      <c r="B11" s="8" t="s">
        <v>383</v>
      </c>
      <c r="C11" s="8"/>
      <c r="E11" s="0" t="s">
        <v>384</v>
      </c>
      <c r="F11" s="8" t="s">
        <v>199</v>
      </c>
    </row>
    <row r="12" customFormat="false" ht="15" hidden="false" customHeight="false" outlineLevel="0" collapsed="false">
      <c r="E12" s="0" t="s">
        <v>385</v>
      </c>
      <c r="F12" s="8" t="s">
        <v>199</v>
      </c>
    </row>
    <row r="13" customFormat="false" ht="15" hidden="false" customHeight="false" outlineLevel="0" collapsed="false">
      <c r="E13" s="0" t="s">
        <v>386</v>
      </c>
      <c r="F13" s="8" t="s">
        <v>199</v>
      </c>
    </row>
    <row r="14" customFormat="false" ht="15" hidden="false" customHeight="false" outlineLevel="0" collapsed="false">
      <c r="E14" s="0" t="s">
        <v>387</v>
      </c>
      <c r="F14" s="8" t="s">
        <v>367</v>
      </c>
    </row>
    <row r="15" customFormat="false" ht="15" hidden="false" customHeight="false" outlineLevel="0" collapsed="false">
      <c r="E15" s="0" t="s">
        <v>388</v>
      </c>
      <c r="F15" s="8" t="s">
        <v>367</v>
      </c>
    </row>
    <row r="16" customFormat="false" ht="15" hidden="false" customHeight="false" outlineLevel="0" collapsed="false">
      <c r="E16" s="0" t="s">
        <v>389</v>
      </c>
      <c r="F16" s="8" t="s">
        <v>199</v>
      </c>
    </row>
    <row r="17" customFormat="false" ht="15" hidden="false" customHeight="false" outlineLevel="0" collapsed="false">
      <c r="E17" s="0" t="s">
        <v>390</v>
      </c>
      <c r="F17" s="8" t="s">
        <v>199</v>
      </c>
    </row>
  </sheetData>
  <mergeCells count="10">
    <mergeCell ref="A1:F1"/>
    <mergeCell ref="B3:C3"/>
    <mergeCell ref="B4:C4"/>
    <mergeCell ref="B5:C5"/>
    <mergeCell ref="B6:C6"/>
    <mergeCell ref="B7:C7"/>
    <mergeCell ref="B8:C8"/>
    <mergeCell ref="B9:C9"/>
    <mergeCell ref="B10:C10"/>
    <mergeCell ref="B11:C11"/>
  </mergeCells>
  <dataValidations count="3">
    <dataValidation allowBlank="false" errorStyle="stop" operator="between" showDropDown="false" showErrorMessage="false" showInputMessage="false" sqref="B4" type="list">
      <formula1>"Not Started,In Progress,Completed,Blocked"</formula1>
      <formula2>0</formula2>
    </dataValidation>
    <dataValidation allowBlank="false" errorStyle="stop" operator="between" showDropDown="false" showErrorMessage="false" showInputMessage="false" sqref="B10" type="list">
      <formula1>"Yes,No"</formula1>
      <formula2>0</formula2>
    </dataValidation>
    <dataValidation allowBlank="false" errorStyle="stop" operator="between" showDropDown="false" showErrorMessage="false" showInputMessage="false" sqref="F4:F17"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0" width="24"/>
  </cols>
  <sheetData>
    <row r="1" customFormat="false" ht="33.75" hidden="false" customHeight="true" outlineLevel="0" collapsed="false">
      <c r="A1" s="1" t="s">
        <v>391</v>
      </c>
      <c r="B1" s="1"/>
      <c r="C1" s="1"/>
      <c r="D1" s="1"/>
      <c r="E1" s="1"/>
      <c r="F1" s="1"/>
    </row>
    <row r="3" customFormat="false" ht="27.75" hidden="false" customHeight="true" outlineLevel="0" collapsed="false">
      <c r="A3" s="7" t="s">
        <v>392</v>
      </c>
      <c r="B3" s="7"/>
      <c r="C3" s="7"/>
      <c r="D3" s="7"/>
      <c r="E3" s="7"/>
      <c r="F3" s="7"/>
    </row>
    <row r="4" customFormat="false" ht="37.5" hidden="false" customHeight="true" outlineLevel="0" collapsed="false">
      <c r="A4" s="14"/>
      <c r="B4" s="14"/>
      <c r="C4" s="14"/>
      <c r="D4" s="14"/>
      <c r="E4" s="14"/>
      <c r="F4" s="14"/>
    </row>
    <row r="5" customFormat="false" ht="37.5" hidden="false" customHeight="true" outlineLevel="0" collapsed="false">
      <c r="A5" s="14"/>
      <c r="B5" s="14"/>
      <c r="C5" s="14"/>
      <c r="D5" s="14"/>
      <c r="E5" s="14"/>
      <c r="F5" s="14"/>
    </row>
    <row r="7" customFormat="false" ht="27.75" hidden="false" customHeight="true" outlineLevel="0" collapsed="false">
      <c r="A7" s="7" t="s">
        <v>393</v>
      </c>
      <c r="B7" s="7"/>
      <c r="C7" s="7"/>
      <c r="D7" s="7"/>
      <c r="E7" s="7"/>
      <c r="F7" s="7"/>
    </row>
    <row r="8" customFormat="false" ht="37.5" hidden="false" customHeight="true" outlineLevel="0" collapsed="false">
      <c r="A8" s="14"/>
      <c r="B8" s="14"/>
      <c r="C8" s="14"/>
      <c r="D8" s="14"/>
      <c r="E8" s="14"/>
      <c r="F8" s="14"/>
    </row>
    <row r="9" customFormat="false" ht="37.5" hidden="false" customHeight="true" outlineLevel="0" collapsed="false">
      <c r="A9" s="14"/>
      <c r="B9" s="14"/>
      <c r="C9" s="14"/>
      <c r="D9" s="14"/>
      <c r="E9" s="14"/>
      <c r="F9" s="14"/>
    </row>
    <row r="11" customFormat="false" ht="27.75" hidden="false" customHeight="true" outlineLevel="0" collapsed="false">
      <c r="A11" s="7" t="s">
        <v>394</v>
      </c>
      <c r="B11" s="7"/>
      <c r="C11" s="7"/>
      <c r="D11" s="7"/>
      <c r="E11" s="7"/>
      <c r="F11" s="7"/>
    </row>
    <row r="12" customFormat="false" ht="37.5" hidden="false" customHeight="true" outlineLevel="0" collapsed="false">
      <c r="A12" s="14"/>
      <c r="B12" s="14"/>
      <c r="C12" s="14"/>
      <c r="D12" s="14"/>
      <c r="E12" s="14"/>
      <c r="F12" s="14"/>
    </row>
    <row r="13" customFormat="false" ht="37.5" hidden="false" customHeight="true" outlineLevel="0" collapsed="false">
      <c r="A13" s="14"/>
      <c r="B13" s="14"/>
      <c r="C13" s="14"/>
      <c r="D13" s="14"/>
      <c r="E13" s="14"/>
      <c r="F13" s="14"/>
    </row>
    <row r="15" customFormat="false" ht="27.75" hidden="false" customHeight="true" outlineLevel="0" collapsed="false">
      <c r="A15" s="7" t="s">
        <v>395</v>
      </c>
      <c r="B15" s="7"/>
      <c r="C15" s="7"/>
      <c r="D15" s="7"/>
      <c r="E15" s="7"/>
      <c r="F15" s="7"/>
    </row>
    <row r="16" customFormat="false" ht="37.5" hidden="false" customHeight="true" outlineLevel="0" collapsed="false">
      <c r="A16" s="14"/>
      <c r="B16" s="14"/>
      <c r="C16" s="14"/>
      <c r="D16" s="14"/>
      <c r="E16" s="14"/>
      <c r="F16" s="14"/>
    </row>
    <row r="17" customFormat="false" ht="37.5" hidden="false" customHeight="true" outlineLevel="0" collapsed="false">
      <c r="A17" s="14"/>
      <c r="B17" s="14"/>
      <c r="C17" s="14"/>
      <c r="D17" s="14"/>
      <c r="E17" s="14"/>
      <c r="F17" s="14"/>
    </row>
    <row r="19" customFormat="false" ht="27.75" hidden="false" customHeight="true" outlineLevel="0" collapsed="false">
      <c r="A19" s="7" t="s">
        <v>396</v>
      </c>
      <c r="B19" s="7"/>
      <c r="C19" s="7"/>
      <c r="D19" s="7"/>
      <c r="E19" s="7"/>
      <c r="F19" s="7"/>
    </row>
    <row r="20" customFormat="false" ht="37.5" hidden="false" customHeight="true" outlineLevel="0" collapsed="false">
      <c r="A20" s="14"/>
      <c r="B20" s="14"/>
      <c r="C20" s="14"/>
      <c r="D20" s="14"/>
      <c r="E20" s="14"/>
      <c r="F20" s="14"/>
    </row>
    <row r="21" customFormat="false" ht="37.5" hidden="false" customHeight="true" outlineLevel="0" collapsed="false">
      <c r="A21" s="14"/>
      <c r="B21" s="14"/>
      <c r="C21" s="14"/>
      <c r="D21" s="14"/>
      <c r="E21" s="14"/>
      <c r="F21" s="14"/>
    </row>
    <row r="23" customFormat="false" ht="27.75" hidden="false" customHeight="true" outlineLevel="0" collapsed="false">
      <c r="A23" s="7" t="s">
        <v>397</v>
      </c>
      <c r="B23" s="7"/>
      <c r="C23" s="7"/>
      <c r="D23" s="7"/>
      <c r="E23" s="7"/>
      <c r="F23" s="7"/>
    </row>
    <row r="24" customFormat="false" ht="37.5" hidden="false" customHeight="true" outlineLevel="0" collapsed="false">
      <c r="A24" s="14"/>
      <c r="B24" s="14"/>
      <c r="C24" s="14"/>
      <c r="D24" s="14"/>
      <c r="E24" s="14"/>
      <c r="F24" s="14"/>
    </row>
    <row r="25" customFormat="false" ht="37.5" hidden="false" customHeight="true" outlineLevel="0" collapsed="false">
      <c r="A25" s="14"/>
      <c r="B25" s="14"/>
      <c r="C25" s="14"/>
      <c r="D25" s="14"/>
      <c r="E25" s="14"/>
      <c r="F25" s="14"/>
    </row>
    <row r="27" customFormat="false" ht="27.75" hidden="false" customHeight="true" outlineLevel="0" collapsed="false">
      <c r="A27" s="7" t="s">
        <v>398</v>
      </c>
      <c r="B27" s="7"/>
      <c r="C27" s="7"/>
      <c r="D27" s="7"/>
      <c r="E27" s="7"/>
      <c r="F27" s="7"/>
    </row>
    <row r="28" customFormat="false" ht="37.5" hidden="false" customHeight="true" outlineLevel="0" collapsed="false">
      <c r="A28" s="14"/>
      <c r="B28" s="14"/>
      <c r="C28" s="14"/>
      <c r="D28" s="14"/>
      <c r="E28" s="14"/>
      <c r="F28" s="14"/>
    </row>
    <row r="29" customFormat="false" ht="37.5" hidden="false" customHeight="true" outlineLevel="0" collapsed="false">
      <c r="A29" s="14"/>
      <c r="B29" s="14"/>
      <c r="C29" s="14"/>
      <c r="D29" s="14"/>
      <c r="E29" s="14"/>
      <c r="F29" s="14"/>
    </row>
  </sheetData>
  <mergeCells count="15">
    <mergeCell ref="A1:F1"/>
    <mergeCell ref="A3:F3"/>
    <mergeCell ref="A4:F5"/>
    <mergeCell ref="A7:F7"/>
    <mergeCell ref="A8:F9"/>
    <mergeCell ref="A11:F11"/>
    <mergeCell ref="A12:F13"/>
    <mergeCell ref="A15:F15"/>
    <mergeCell ref="A16:F17"/>
    <mergeCell ref="A19:F19"/>
    <mergeCell ref="A20:F21"/>
    <mergeCell ref="A23:F23"/>
    <mergeCell ref="A24:F25"/>
    <mergeCell ref="A27:F27"/>
    <mergeCell ref="A28:F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2026-10-19T21:33:33Z</dcterms:created>
  <dc:creator>openpyxl</dc:creator>
  <dc:description/>
  <dc:language>en-US</dc:language>
  <cp:lastModifiedBy/>
  <dcterms:modified xsi:type="dcterms:W3CDTF">2026-10-19T21:33:33Z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