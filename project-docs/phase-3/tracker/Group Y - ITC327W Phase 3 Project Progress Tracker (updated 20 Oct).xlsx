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cc6bf871c74d04" /></Relationships>
</file>

<file path=xl/workbook.xml><?xml version="1.0" encoding="utf-8"?>
<x:workbook xmlns:x="http://schemas.openxmlformats.org/spreadsheetml/2006/main">
  <x:sheets>
    <x:sheet xmlns:r="http://schemas.openxmlformats.org/officeDocument/2006/relationships" name="Instructions" sheetId="1" r:id="R857e22f45c374353"/>
    <x:sheet xmlns:r="http://schemas.openxmlformats.org/officeDocument/2006/relationships" name="Project Overview" sheetId="2" r:id="R44c6950f947641d6"/>
    <x:sheet xmlns:r="http://schemas.openxmlformats.org/officeDocument/2006/relationships" name="Development Progress" sheetId="3" r:id="R79bbf1b9ac114aad"/>
    <x:sheet xmlns:r="http://schemas.openxmlformats.org/officeDocument/2006/relationships" name="Individual Contributions" sheetId="4" r:id="R8d67204a2f094f8f"/>
    <x:sheet xmlns:r="http://schemas.openxmlformats.org/officeDocument/2006/relationships" name="Integration Progress" sheetId="5" r:id="R0742ed42637d4660"/>
    <x:sheet xmlns:r="http://schemas.openxmlformats.org/officeDocument/2006/relationships" name="Implementation Evidence" sheetId="6" r:id="Rf9ee769258174d5a"/>
    <x:sheet xmlns:r="http://schemas.openxmlformats.org/officeDocument/2006/relationships" name="Challenges &amp; Actions" sheetId="7" r:id="Rdd8cb26db9504acf"/>
    <x:sheet xmlns:r="http://schemas.openxmlformats.org/officeDocument/2006/relationships" name="Phase Summary" sheetId="8" r:id="R1737e9de5be548dd"/>
    <x:sheet xmlns:r="http://schemas.openxmlformats.org/officeDocument/2006/relationships" name="Group Reflection" sheetId="9" r:id="R6a32d1d129a94f0d"/>
  </x:sheets>
  <x:calcPr fullCalcOnLoad="1"/>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5"/>
      <x:color rgb="FFFFFFFF"/>
      <x:name val="Carlito"/>
    </x:font>
    <x:font>
      <x:b/>
      <x:sz val="11"/>
      <x:color rgb="FFFFFFFF"/>
      <x:name val="Carlito"/>
    </x:font>
    <x:font>
      <x:b/>
      <x:sz val="11"/>
      <x:name val="Carlito"/>
    </x:font>
  </x:fonts>
  <x:fills count="7">
    <x:fill>
      <x:patternFill patternType="none"/>
    </x:fill>
    <x:fill>
      <x:patternFill patternType="gray125"/>
    </x:fill>
    <x:fill>
      <x:patternFill patternType="solid">
        <x:fgColor rgb="FF17365D"/>
      </x:patternFill>
    </x:fill>
    <x:fill>
      <x:patternFill patternType="solid">
        <x:fgColor rgb="FFF3F6FA"/>
      </x:patternFill>
    </x:fill>
    <x:fill>
      <x:patternFill patternType="solid">
        <x:fgColor rgb="FFD9EAF7"/>
      </x:patternFill>
    </x:fill>
    <x:fill>
      <x:patternFill patternType="solid">
        <x:fgColor rgb="FFFFF2CC"/>
      </x:patternFill>
    </x:fill>
    <x:fill>
      <x:patternFill patternType="solid">
        <x:fgColor rgb="FFE2F0D9"/>
      </x:patternFill>
    </x:fill>
  </x:fills>
  <x:borders count="2">
    <x:border/>
    <x:border/>
  </x:borders>
  <x:cellStyleXfs count="1">
    <x:xf numFmtId="0" fontId="0" fillId="0" borderId="0"/>
  </x:cellStyleXfs>
  <x:cellXfs count="5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1" xfId="0" applyNumberFormat="1" applyFont="1" applyFill="1" applyBorder="1"/>
    <x:xf numFmtId="0" fontId="0" fillId="3"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0" fillId="6" borderId="0" xfId="0" applyNumberFormat="1" applyFont="1" applyFill="1" applyBorder="1"/>
    <x:xf numFmtId="200" fontId="0" fillId="6" borderId="0" xfId="0" applyNumberFormat="1" applyFont="1" applyFill="1" applyBorder="1"/>
    <x:xf numFmtId="0" fontId="3" fillId="6" borderId="0" xfId="0" applyNumberFormat="1" applyFont="1" applyFill="1" applyBorder="1"/>
    <x:xf numFmtId="200" fontId="3" fillId="6" borderId="0" xfId="0" applyNumberFormat="1" applyFont="1" applyFill="1" applyBorder="1"/>
    <x:xf numFmtId="0" fontId="3" fillId="6" borderId="0" xfId="0" applyNumberFormat="1" applyFont="1" applyFill="1" applyBorder="1" applyAlignment="1">
      <x:alignment horizontal="center"/>
    </x:xf>
    <x:xf numFmtId="200" fontId="3" fillId="6" borderId="0" xfId="0" applyNumberFormat="1" applyFont="1" applyFill="1" applyBorder="1" applyAlignment="1">
      <x:alignment horizontal="center"/>
    </x:xf>
    <x:xf numFmtId="0" fontId="0" fillId="6" borderId="1" xfId="0" applyNumberFormat="1" applyFont="1" applyFill="1" applyBorder="1"/>
    <x:xf numFmtId="200" fontId="0" fillId="6" borderId="1" xfId="0" applyNumberFormat="1" applyFont="1" applyFill="1" applyBorder="1"/>
    <x:xf numFmtId="0" fontId="3" fillId="6" borderId="1" xfId="0" applyNumberFormat="1" applyFont="1" applyFill="1" applyBorder="1"/>
    <x:xf numFmtId="200" fontId="3" fillId="6" borderId="1" xfId="0" applyNumberFormat="1" applyFont="1" applyFill="1" applyBorder="1"/>
    <x:xf numFmtId="0" fontId="3" fillId="6" borderId="1" xfId="0" applyNumberFormat="1" applyFont="1" applyFill="1" applyBorder="1" applyAlignment="1">
      <x:alignment horizontal="center"/>
    </x:xf>
    <x:xf numFmtId="200" fontId="3" fillId="6" borderId="1" xfId="0" applyNumberFormat="1" applyFont="1" applyFill="1" applyBorder="1" applyAlignment="1">
      <x:alignment horizontal="center"/>
    </x:xf>
    <x:xf numFmtId="200" fontId="0" fillId="5" borderId="0" xfId="0" applyNumberFormat="1" applyFont="1" applyFill="1" applyBorder="1" applyAlignment="1">
      <x:alignment vertical="top" wrapText="1"/>
    </x:xf>
    <x:xf numFmtId="200" fontId="0" fillId="5" borderId="1" xfId="0" applyNumberFormat="1" applyFont="1" applyFill="1" applyBorder="1" applyAlignment="1">
      <x:alignment vertical="top" wrapText="1"/>
    </x:xf>
  </x:cellXfs>
  <x:cellStyles count="1">
    <x:cellStyle name="Normal" xfId="0"/>
  </x:cellStyles>
  <x:dxfs count="7">
    <x:dxf>
      <x:fill>
        <x:patternFill patternType="solid">
          <x:bgColor rgb="FFE2F0D9"/>
        </x:patternFill>
      </x:fill>
    </x:dxf>
    <x:dxf>
      <x:fill>
        <x:patternFill patternType="solid">
          <x:bgColor rgb="FFF4CCCC"/>
        </x:patternFill>
      </x:fill>
    </x:dxf>
    <x:dxf>
      <x:fill>
        <x:patternFill patternType="solid">
          <x:bgColor rgb="FFE2F0D9"/>
        </x:patternFill>
      </x:fill>
    </x:dxf>
    <x:dxf>
      <x:fill>
        <x:patternFill patternType="solid">
          <x:bgColor rgb="FFE2F0D9"/>
        </x:patternFill>
      </x:fill>
    </x:dxf>
    <x:dxf>
      <x:fill>
        <x:patternFill patternType="solid">
          <x:bgColor rgb="FFF4CCCC"/>
        </x:patternFill>
      </x:fill>
    </x:dxf>
    <x:dxf>
      <x:fill>
        <x:patternFill patternType="solid">
          <x:bgColor rgb="FFE2F0D9"/>
        </x:patternFill>
      </x:fill>
    </x:dxf>
    <x:dxf>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9c3d6eceb24fbf" /><Relationship Type="http://schemas.openxmlformats.org/officeDocument/2006/relationships/theme" Target="/xl/theme/theme1.xml" Id="R3f17d6b22b3b41e5" /><Relationship Type="http://schemas.openxmlformats.org/officeDocument/2006/relationships/sharedStrings" Target="/xl/sharedStrings.xml" Id="Rfc0aaf354657415f" /><Relationship Type="http://schemas.openxmlformats.org/officeDocument/2006/relationships/worksheet" Target="/xl/worksheets/sheet1.xml" Id="R857e22f45c374353" /><Relationship Type="http://schemas.openxmlformats.org/officeDocument/2006/relationships/worksheet" Target="/xl/worksheets/sheet2.xml" Id="R44c6950f947641d6" /><Relationship Type="http://schemas.openxmlformats.org/officeDocument/2006/relationships/worksheet" Target="/xl/worksheets/sheet3.xml" Id="R79bbf1b9ac114aad" /><Relationship Type="http://schemas.openxmlformats.org/officeDocument/2006/relationships/worksheet" Target="/xl/worksheets/sheet4.xml" Id="R8d67204a2f094f8f" /><Relationship Type="http://schemas.openxmlformats.org/officeDocument/2006/relationships/worksheet" Target="/xl/worksheets/sheet5.xml" Id="R0742ed42637d4660" /><Relationship Type="http://schemas.openxmlformats.org/officeDocument/2006/relationships/worksheet" Target="/xl/worksheets/sheet6.xml" Id="Rf9ee769258174d5a" /><Relationship Type="http://schemas.openxmlformats.org/officeDocument/2006/relationships/worksheet" Target="/xl/worksheets/sheet7.xml" Id="Rdd8cb26db9504acf" /><Relationship Type="http://schemas.openxmlformats.org/officeDocument/2006/relationships/worksheet" Target="/xl/worksheets/sheet8.xml" Id="R1737e9de5be548dd" /><Relationship Type="http://schemas.openxmlformats.org/officeDocument/2006/relationships/worksheet" Target="/xl/worksheets/sheet9.xml" Id="R6a32d1d129a94f0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6" hidden="0" customWidth="1"/>
    <x:col min="2" max="2" width="42" hidden="0" customWidth="1"/>
    <x:col min="3" max="3" width="52" hidden="0" customWidth="1"/>
    <x:col min="4" max="4" width="14" hidden="0" customWidth="1"/>
    <x:col min="5" max="5" width="14" hidden="0" customWidth="1"/>
    <x:col min="6" max="6" width="14" hidden="0" customWidth="1"/>
  </x:cols>
  <x:sheetData>
    <x:row r="1" ht="34" customHeight="1">
      <x:c r="A1" s="5" t="str">
        <x:v>ITC327W Phase 3 Project Progress Tracker</x:v>
      </x:c>
      <x:c r="B1" s="5"/>
      <x:c r="C1" s="5"/>
      <x:c r="D1" s="5"/>
      <x:c r="E1" s="5"/>
      <x:c r="F1" s="5"/>
    </x:row>
    <x:row r="2" ht="34" customHeight="1">
      <x:c r="A2" s="11" t="str">
        <x:v>Use this workbook during Phase 3: System Development, Implementation and Final Demonstration. Update it throughout the phase and submit the same workbook with Assessment 3.</x:v>
      </x:c>
      <x:c r="B2" s="11"/>
      <x:c r="C2" s="11"/>
      <x:c r="D2" s="11"/>
      <x:c r="E2" s="11"/>
      <x:c r="F2" s="11"/>
    </x:row>
    <x:row r="4" ht="30" customHeight="1">
      <x:c r="A4" s="17" t="str">
        <x:v>Sheet</x:v>
      </x:c>
      <x:c r="B4" s="17" t="str">
        <x:v>Purpose</x:v>
      </x:c>
      <x:c r="C4" s="17" t="str">
        <x:v>What must be kept current</x:v>
      </x:c>
    </x:row>
    <x:row r="5" ht="42" customHeight="1">
      <x:c r="A5" s="22" t="str">
        <x:v>Project Overview</x:v>
      </x:c>
      <x:c r="B5" s="22" t="str">
        <x:v>Group details and automatic development summary</x:v>
      </x:c>
      <x:c r="C5" s="22" t="str">
        <x:v>Project details, GitHub link and current Phase 3 progress</x:v>
      </x:c>
    </x:row>
    <x:row r="6" ht="42" customHeight="1">
      <x:c r="A6" s="22" t="str">
        <x:v>Development Progress</x:v>
      </x:c>
      <x:c r="B6" s="22" t="str">
        <x:v>Track implementation work</x:v>
      </x:c>
      <x:c r="C6" s="22" t="str">
        <x:v>Supabase, Flutter, ASP.NET, integration, SRS, GitHub, Microsoft Project and demonstration preparation</x:v>
      </x:c>
    </x:row>
    <x:row r="7" ht="42" customHeight="1">
      <x:c r="A7" s="22" t="str">
        <x:v>Individual Contributions</x:v>
      </x:c>
      <x:c r="B7" s="22" t="str">
        <x:v>Record work personally completed by each student</x:v>
      </x:c>
      <x:c r="C7" s="22" t="str">
        <x:v>Activity, responsibility, completed work and evidence</x:v>
      </x:c>
    </x:row>
    <x:row r="8" ht="42" customHeight="1">
      <x:c r="A8" s="22" t="str">
        <x:v>Integration Progress</x:v>
      </x:c>
      <x:c r="B8" s="22" t="str">
        <x:v>Track important shared processes across the system</x:v>
      </x:c>
      <x:c r="C8" s="22" t="str">
        <x:v>Flutter action, ASP.NET action, shared Supabase information and current working status</x:v>
      </x:c>
    </x:row>
    <x:row r="9" ht="42" customHeight="1">
      <x:c r="A9" s="22" t="str">
        <x:v>Implementation Evidence</x:v>
      </x:c>
      <x:c r="B9" s="22" t="str">
        <x:v>Record evidence of the working prototype</x:v>
      </x:c>
      <x:c r="C9" s="22" t="str">
        <x:v>Screenshots, recordings, GitHub commits/links and relevant SRS sections</x:v>
      </x:c>
    </x:row>
    <x:row r="10" ht="42" customHeight="1">
      <x:c r="A10" s="22" t="str">
        <x:v>Challenges &amp; Actions</x:v>
      </x:c>
      <x:c r="B10" s="22" t="str">
        <x:v>Record development/integration challenges and corrective action</x:v>
      </x:c>
      <x:c r="C10" s="22" t="str">
        <x:v>Problem, effect, action, owner, target date and status</x:v>
      </x:c>
    </x:row>
    <x:row r="11" ht="42" customHeight="1">
      <x:c r="A11" s="22" t="str">
        <x:v>Phase Summary</x:v>
      </x:c>
      <x:c r="B11" s="22" t="str">
        <x:v>Summarise Phase 3 progress</x:v>
      </x:c>
      <x:c r="C11" s="22" t="str">
        <x:v>Completed work, limitations, participation and final readiness</x:v>
      </x:c>
    </x:row>
    <x:row r="12" ht="42" customHeight="1">
      <x:c r="A12" s="22" t="str">
        <x:v>Group Reflection</x:v>
      </x:c>
      <x:c r="B12" s="22" t="str">
        <x:v>One shared final group reflection</x:v>
      </x:c>
      <x:c r="C12" s="22" t="str">
        <x:v>Development experience, collaboration, challenges and lessons learned</x:v>
      </x:c>
    </x:row>
    <x:row r="14">
      <x:c r="A14" s="14" t="str">
        <x:v>Important</x:v>
      </x:c>
      <x:c r="B14" s="14"/>
      <x:c r="C14" s="14"/>
      <x:c r="D14" s="14"/>
      <x:c r="E14" s="14"/>
      <x:c r="F14" s="14"/>
    </x:row>
    <x:row r="15">
      <x:c r="A15" s="24" t="str">
        <x:v>Phase 3 does not require a formal test plan, test cases or defect log. Record normal development checks, working functions, integration progress, challenges and corrections as part of implementation. Do not include passwords, API keys or confidential stakeholder/user information.</x:v>
      </x:c>
      <x:c r="B15" s="24"/>
      <x:c r="C15" s="24"/>
      <x:c r="D15" s="24"/>
      <x:c r="E15" s="24"/>
      <x:c r="F15" s="24"/>
    </x:row>
    <x:row r="16">
      <x:c r="A16" s="24"/>
      <x:c r="B16" s="24"/>
      <x:c r="C16" s="24"/>
      <x:c r="D16" s="24"/>
      <x:c r="E16" s="24"/>
      <x:c r="F16" s="24"/>
    </x:row>
    <x:row r="17">
      <x:c r="A17" s="24"/>
      <x:c r="B17" s="24"/>
      <x:c r="C17" s="24"/>
      <x:c r="D17" s="24"/>
      <x:c r="E17" s="24"/>
      <x:c r="F17" s="24"/>
    </x:row>
    <x:row r="18">
      <x:c r="A18" s="24"/>
      <x:c r="B18" s="24"/>
      <x:c r="C18" s="24"/>
      <x:c r="D18" s="24"/>
      <x:c r="E18" s="24"/>
      <x:c r="F18" s="24"/>
    </x:row>
    <x:row r="19">
      <x:c r="A19" s="24"/>
      <x:c r="B19" s="24"/>
      <x:c r="C19" s="24"/>
      <x:c r="D19" s="24"/>
      <x:c r="E19" s="24"/>
      <x:c r="F19" s="24"/>
    </x:row>
  </x:sheetData>
  <x:mergeCells>
    <x:mergeCell ref="A1:F1"/>
    <x:mergeCell ref="A2:F2"/>
    <x:mergeCell ref="A14:F14"/>
    <x:mergeCell ref="A15:F19"/>
  </x:mergeCells>
  <x:pageMargins left="0.7" right="0.7" top="0.75" bottom="0.75" header="0.3" footer="0.3"/>
</x:worksheet>
</file>

<file path=xl/worksheets/sheet2.xml><?xml version="1.0" encoding="utf-8"?>
<x:worksheet xmlns:x="http://schemas.openxmlformats.org/spreadsheetml/2006/main">
  <x:sheetFormatPr defaultRowHeight="15"/>
  <x:cols>
    <x:col min="1" max="1" width="27" hidden="0" customWidth="1"/>
    <x:col min="2" max="2" width="38" hidden="0" customWidth="1"/>
    <x:col min="3" max="3" width="4" hidden="0" customWidth="1"/>
    <x:col min="4" max="4" width="25" hidden="0" customWidth="1"/>
    <x:col min="5" max="5" width="18" hidden="0" customWidth="1"/>
    <x:col min="6" max="6" width="16" hidden="0" customWidth="1"/>
    <x:col min="7" max="7" width="16" hidden="0" customWidth="1"/>
    <x:col min="8" max="8" width="16" hidden="0" customWidth="1"/>
  </x:cols>
  <x:sheetData>
    <x:row r="1" ht="34" customHeight="1">
      <x:c r="A1" s="5" t="str">
        <x:v>Phase 3 Project Overview</x:v>
      </x:c>
      <x:c r="B1" s="5"/>
      <x:c r="C1" s="5"/>
      <x:c r="D1" s="5"/>
      <x:c r="E1" s="5"/>
      <x:c r="F1" s="5"/>
      <x:c r="G1" s="5"/>
      <x:c r="H1" s="5"/>
    </x:row>
    <x:row r="3">
      <x:c r="A3" s="28" t="str">
        <x:v>Group</x:v>
      </x:c>
      <x:c r="B3" s="34" t="str">
        <x:v>Group Y (The Zealots)</x:v>
      </x:c>
      <x:c r="D3" s="38" t="str">
        <x:v>Phase 3 Development Summary</x:v>
      </x:c>
      <x:c r="E3" s="38"/>
      <x:c r="F3" s="38"/>
      <x:c r="G3" s="38"/>
      <x:c r="H3" s="38"/>
    </x:row>
    <x:row r="4">
      <x:c r="A4" s="28" t="str">
        <x:v>Project Title</x:v>
      </x:c>
      <x:c r="B4" s="34" t="str">
        <x:v>Spanner - Workshop Booking, Stock &amp; Invoicing System</x:v>
      </x:c>
      <x:c r="D4" s="27" t="str">
        <x:v>Total tracked items</x:v>
      </x:c>
      <x:c r="E4" s="46" t="n">
        <x:f>COUNTA('Development Progress'!A4:A33)</x:f>
        <x:v>25</x:v>
      </x:c>
    </x:row>
    <x:row r="5">
      <x:c r="A5" s="28" t="str">
        <x:v>Stakeholder / Organisation</x:v>
      </x:c>
      <x:c r="B5" s="34" t="str">
        <x:v>Riese Auto-Clinic - Michael Riese (Owner/Head Mechanic)</x:v>
      </x:c>
      <x:c r="D5" s="27" t="str">
        <x:v>Completed</x:v>
      </x:c>
      <x:c r="E5" s="46" t="n">
        <x:f>COUNTIF('Development Progress'!G4:G33,"Completed")</x:f>
        <x:v>5</x:v>
      </x:c>
    </x:row>
    <x:row r="6">
      <x:c r="A6" s="28" t="str">
        <x:v>Group Leader</x:v>
      </x:c>
      <x:c r="B6" s="34" t="str"/>
      <x:c r="D6" s="27" t="str">
        <x:v>In Progress</x:v>
      </x:c>
      <x:c r="E6" s="46" t="n">
        <x:f>COUNTIF('Development Progress'!G4:G33,"In Progress")</x:f>
        <x:v>12</x:v>
      </x:c>
    </x:row>
    <x:row r="7">
      <x:c r="A7" s="28" t="str">
        <x:v>Number of Group Members</x:v>
      </x:c>
      <x:c r="B7" s="34" t="n">
        <x:v>7</x:v>
      </x:c>
      <x:c r="D7" s="27" t="str">
        <x:v>Blocked</x:v>
      </x:c>
      <x:c r="E7" s="46" t="n">
        <x:f>COUNTIF('Development Progress'!G4:G33,"Blocked")</x:f>
        <x:v>0</x:v>
      </x:c>
    </x:row>
    <x:row r="8">
      <x:c r="A8" s="28" t="str">
        <x:v>GitHub Repository Link</x:v>
      </x:c>
      <x:c r="B8" s="34" t="str">
        <x:v>https://github.com/BlackZ3ro/Spanner-Riese-Auto-Clinic</x:v>
      </x:c>
      <x:c r="D8" s="27" t="str">
        <x:v>Average completion</x:v>
      </x:c>
      <x:c r="E8" s="47" t="n">
        <x:f>IFERROR(AVERAGE('Development Progress'!H4:H33),0)</x:f>
        <x:v>0.474</x:v>
      </x:c>
    </x:row>
    <x:row r="9">
      <x:c r="A9" s="28" t="str">
        <x:v>Reporting Period</x:v>
      </x:c>
      <x:c r="B9" s="34" t="str">
        <x:v>15 Oct - 2 Nov 2026 (last updated 20 Oct 2026)</x:v>
      </x:c>
    </x:row>
    <x:row r="10">
      <x:c r="A10" s="28" t="str">
        <x:v>Overall Phase Status</x:v>
      </x:c>
      <x:c r="B10" s="34" t="str">
        <x:v>In Progress</x:v>
      </x:c>
      <x:c r="D10" s="14" t="str">
        <x:v>Phase 3 Reminder</x:v>
      </x:c>
      <x:c r="E10" s="14"/>
      <x:c r="F10" s="14"/>
      <x:c r="G10" s="14"/>
      <x:c r="H10" s="14"/>
    </x:row>
    <x:row r="11">
      <x:c r="D11" s="24" t="str">
        <x:v>Phase 3 focuses on implementing and demonstrating the integrated prototype. Track the shared Supabase backend, Flutter mobile application, ASP.NET web application, important shared processes, GitHub evidence, Microsoft Project and the final demonstration.</x:v>
      </x:c>
      <x:c r="E11" s="24"/>
      <x:c r="F11" s="24"/>
      <x:c r="G11" s="24"/>
      <x:c r="H11" s="24"/>
    </x:row>
    <x:row r="12">
      <x:c r="D12" s="24"/>
      <x:c r="E12" s="24"/>
      <x:c r="F12" s="24"/>
      <x:c r="G12" s="24"/>
      <x:c r="H12" s="24"/>
    </x:row>
    <x:row r="13">
      <x:c r="D13" s="24"/>
      <x:c r="E13" s="24"/>
      <x:c r="F13" s="24"/>
      <x:c r="G13" s="24"/>
      <x:c r="H13" s="24"/>
    </x:row>
    <x:row r="14">
      <x:c r="D14" s="24"/>
      <x:c r="E14" s="24"/>
      <x:c r="F14" s="24"/>
      <x:c r="G14" s="24"/>
      <x:c r="H14" s="24"/>
    </x:row>
    <x:row r="15">
      <x:c r="D15" s="24"/>
      <x:c r="E15" s="24"/>
      <x:c r="F15" s="24"/>
      <x:c r="G15" s="24"/>
      <x:c r="H15" s="24"/>
    </x:row>
  </x:sheetData>
  <x:mergeCells>
    <x:mergeCell ref="A1:H1"/>
    <x:mergeCell ref="D3:H3"/>
    <x:mergeCell ref="D10:H10"/>
    <x:mergeCell ref="D11:H15"/>
  </x:mergeCells>
  <x:dataValidations count="1">
    <x:dataValidation type="list" sqref="B10">
      <x:formula1>"Not Started,In Progress,Completed,Blocked"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22" hidden="0" customWidth="1"/>
    <x:col min="3" max="3" width="46" hidden="0" customWidth="1"/>
    <x:col min="4" max="4" width="25" hidden="0" customWidth="1"/>
    <x:col min="5" max="5" width="15" hidden="0" customWidth="1"/>
    <x:col min="6" max="6" width="15" hidden="0" customWidth="1"/>
    <x:col min="7" max="7" width="15" hidden="0" customWidth="1"/>
    <x:col min="8" max="8" width="12" hidden="0" customWidth="1"/>
    <x:col min="9" max="9" width="35" hidden="0" customWidth="1"/>
    <x:col min="10" max="10" width="34" hidden="0" customWidth="1"/>
  </x:cols>
  <x:sheetData>
    <x:row r="1" ht="34" customHeight="1">
      <x:c r="A1" s="5" t="str">
        <x:v>Phase 3 Development Progress</x:v>
      </x:c>
      <x:c r="B1" s="5"/>
      <x:c r="C1" s="5"/>
      <x:c r="D1" s="5"/>
      <x:c r="E1" s="5"/>
      <x:c r="F1" s="5"/>
      <x:c r="G1" s="5"/>
      <x:c r="H1" s="5"/>
      <x:c r="I1" s="5"/>
      <x:c r="J1" s="5"/>
    </x:row>
    <x:row r="3" ht="30" customHeight="1">
      <x:c r="A3" s="17" t="str">
        <x:v>Task ID</x:v>
      </x:c>
      <x:c r="B3" s="17" t="str">
        <x:v>Development Area</x:v>
      </x:c>
      <x:c r="C3" s="17" t="str">
        <x:v>Task / Function</x:v>
      </x:c>
      <x:c r="D3" s="17" t="str">
        <x:v>Responsible Student(s)</x:v>
      </x:c>
      <x:c r="E3" s="17" t="str">
        <x:v>Planned Date</x:v>
      </x:c>
      <x:c r="F3" s="17" t="str">
        <x:v>Actual Completion Date</x:v>
      </x:c>
      <x:c r="G3" s="17" t="str">
        <x:v>Status</x:v>
      </x:c>
      <x:c r="H3" s="17" t="str">
        <x:v>% Complete</x:v>
      </x:c>
      <x:c r="I3" s="17" t="str">
        <x:v>Evidence / GitHub Link</x:v>
      </x:c>
      <x:c r="J3" s="17" t="str">
        <x:v>Notes / Action Required</x:v>
      </x:c>
    </x:row>
    <x:row r="4">
      <x:c r="A4" s="22" t="str">
        <x:v>P3-01</x:v>
      </x:c>
      <x:c r="B4" s="22" t="str">
        <x:v>Supabase Backend</x:v>
      </x:c>
      <x:c r="C4" s="22" t="str">
        <x:v>Required tables, fields, keys and relationships implemented</x:v>
      </x:c>
      <x:c r="D4" s="34" t="str">
        <x:v>Gary van Wyk; Wisani Nkuna</x:v>
      </x:c>
      <x:c r="E4" s="34" t="str">
        <x:v>2026-10-21</x:v>
      </x:c>
      <x:c r="F4" s="34"/>
      <x:c r="G4" s="34" t="str">
        <x:v>In Progress</x:v>
      </x:c>
      <x:c r="H4" s="54" t="n">
        <x:v>0.85</x:v>
      </x:c>
      <x:c r="I4" s="34" t="str">
        <x:v>supabase/migrations/0001-0011; project-docs/phase-2/uml-and-erd.md (ERD)</x:v>
      </x:c>
      <x:c r="J4" s="34" t="str">
        <x:v>All tables, keys and database functions live and shared by both apps (checked against the live project 20 Oct). 0008 confirmed live 20 Oct. Still to run: 0009, 0004, 0010 (created_by column not there yet), 0011. 0006 to be checked with supabase db pull.</x:v>
      </x:c>
    </x:row>
    <x:row r="5">
      <x:c r="A5" s="22" t="str">
        <x:v>P3-02</x:v>
      </x:c>
      <x:c r="B5" s="22" t="str">
        <x:v>Supabase Backend</x:v>
      </x:c>
      <x:c r="C5" s="22" t="str">
        <x:v>Authentication and access configured where required</x:v>
      </x:c>
      <x:c r="D5" s="34" t="str">
        <x:v>Gary van Wyk; Wisani Nkuna</x:v>
      </x:c>
      <x:c r="E5" s="34" t="str">
        <x:v>2026-10-21</x:v>
      </x:c>
      <x:c r="F5" s="34"/>
      <x:c r="G5" s="34" t="str">
        <x:v>In Progress</x:v>
      </x:c>
      <x:c r="H5" s="54" t="n">
        <x:v>0.85</x:v>
      </x:c>
      <x:c r="I5" s="34" t="str">
        <x:v>supabase/migrations/0007, 0008, 0011; web/Pages/Account/Login; mobile/lib/features/auth</x:v>
      </x:c>
      <x:c r="J5" s="34" t="str">
        <x:v>Supabase Auth on both apps. Checked live 20 Oct: anonymous visitors can't read bookings and can't call update_booking_phase, add_booking_part or delete_booking_and_restock (0008 live). Open: finalize/reopen admin check (0011, written and tested).</x:v>
      </x:c>
    </x:row>
    <x:row r="6">
      <x:c r="A6" s="22" t="str">
        <x:v>P3-03</x:v>
      </x:c>
      <x:c r="B6" s="22" t="str">
        <x:v>Flutter</x:v>
      </x:c>
      <x:c r="C6" s="22" t="str">
        <x:v>Approved mobile screens and navigation implemented</x:v>
      </x:c>
      <x:c r="D6" s="34" t="str">
        <x:v>Gary van Wyk</x:v>
      </x:c>
      <x:c r="E6" s="34" t="str">
        <x:v>2026-10-24</x:v>
      </x:c>
      <x:c r="F6" s="34" t="str">
        <x:v>2026-09-28</x:v>
      </x:c>
      <x:c r="G6" s="34" t="str">
        <x:v>Completed</x:v>
      </x:c>
      <x:c r="H6" s="54" t="n">
        <x:v>1</x:v>
      </x:c>
      <x:c r="I6" s="34" t="str">
        <x:v>mobile/lib/features/*/presentation</x:v>
      </x:c>
      <x:c r="J6" s="34" t="str">
        <x:v>Login, home, book-in, bookings list, booking details, stock, customer lookup/status screens on main. Tracking redesign patch (7 Oct) still to apply.</x:v>
      </x:c>
    </x:row>
    <x:row r="7">
      <x:c r="A7" s="22" t="str">
        <x:v>P3-04</x:v>
      </x:c>
      <x:c r="B7" s="22" t="str">
        <x:v>Flutter</x:v>
      </x:c>
      <x:c r="C7" s="22" t="str">
        <x:v>Main mobile functions connected to Supabase</x:v>
      </x:c>
      <x:c r="D7" s="34" t="str">
        <x:v>Gary van Wyk</x:v>
      </x:c>
      <x:c r="E7" s="34" t="str">
        <x:v>2026-10-25</x:v>
      </x:c>
      <x:c r="F7" s="34"/>
      <x:c r="G7" s="34" t="str">
        <x:v>In Progress</x:v>
      </x:c>
      <x:c r="H7" s="54" t="n">
        <x:v>0.85</x:v>
      </x:c>
      <x:c r="I7" s="34" t="str">
        <x:v>mobile/lib/features/*/data</x:v>
      </x:c>
      <x:c r="J7" s="34" t="str">
        <x:v>All main functions read/write Supabase. Still to do: Send on WhatsApp, add part through add_booking_part, kIsWeb guard for the web build. No mobile commits on main since 28 Sept.</x:v>
      </x:c>
    </x:row>
    <x:row r="8">
      <x:c r="A8" s="22" t="str">
        <x:v>P3-05</x:v>
      </x:c>
      <x:c r="B8" s="22" t="str">
        <x:v>ASP.NET</x:v>
      </x:c>
      <x:c r="C8" s="22" t="str">
        <x:v>Approved web pages and navigation implemented</x:v>
      </x:c>
      <x:c r="D8" s="34" t="str">
        <x:v>Wisani Nkuna</x:v>
      </x:c>
      <x:c r="E8" s="34" t="str">
        <x:v>2026-10-16</x:v>
      </x:c>
      <x:c r="F8" s="34" t="str">
        <x:v>2026-10-16</x:v>
      </x:c>
      <x:c r="G8" s="34" t="str">
        <x:v>Completed</x:v>
      </x:c>
      <x:c r="H8" s="54" t="n">
        <x:v>1</x:v>
      </x:c>
      <x:c r="I8" s="34" t="str">
        <x:v>web/Pages</x:v>
      </x:c>
      <x:c r="J8" s="34" t="str">
        <x:v>All approved pages and navigation; client colours; public /Track page.</x:v>
      </x:c>
    </x:row>
    <x:row r="9">
      <x:c r="A9" s="22" t="str">
        <x:v>P3-06</x:v>
      </x:c>
      <x:c r="B9" s="22" t="str">
        <x:v>ASP.NET</x:v>
      </x:c>
      <x:c r="C9" s="22" t="str">
        <x:v>Main web functions connected to Supabase</x:v>
      </x:c>
      <x:c r="D9" s="34" t="str">
        <x:v>Wisani Nkuna</x:v>
      </x:c>
      <x:c r="E9" s="34" t="str">
        <x:v>2026-10-25</x:v>
      </x:c>
      <x:c r="F9" s="34"/>
      <x:c r="G9" s="34" t="str">
        <x:v>In Progress</x:v>
      </x:c>
      <x:c r="H9" s="54" t="n">
        <x:v>0.9</x:v>
      </x:c>
      <x:c r="I9" s="34" t="str">
        <x:v>web/Pages, web/Services</x:v>
      </x:c>
      <x:c r="J9" s="34" t="str">
        <x:v>All main functions use Supabase. 20 Oct: web run against the live project; login, /Track and redirects checked; wrong-password message fixed. Open: labour ledger decision, admin role from profiles, logged-in check of phase change and Send on WhatsApp.</x:v>
      </x:c>
    </x:row>
    <x:row r="10">
      <x:c r="A10" s="22" t="str">
        <x:v>P3-07</x:v>
      </x:c>
      <x:c r="B10" s="22" t="str">
        <x:v>Integration</x:v>
      </x:c>
      <x:c r="C10" s="22" t="str">
        <x:v>Shared Process 1 working across the integrated system</x:v>
      </x:c>
      <x:c r="D10" s="34" t="str">
        <x:v>Wisani Nkuna; Gary van Wyk; Keamogetse Ogone Kgosi (Kea) (recording)</x:v>
      </x:c>
      <x:c r="E10" s="34" t="str">
        <x:v>2026-10-27</x:v>
      </x:c>
      <x:c r="F10" s="34"/>
      <x:c r="G10" s="34" t="str">
        <x:v>In Progress</x:v>
      </x:c>
      <x:c r="H10" s="54" t="n">
        <x:v>0.7</x:v>
      </x:c>
      <x:c r="I10" s="34" t="str">
        <x:v>Integration Progress sheet, P1</x:v>
      </x:c>
      <x:c r="J10" s="34" t="str">
        <x:v>Book-in on Flutter appears on the web dashboard; part added on the web shows on Flutter with stock reduced. Built; screen recording to capture.</x:v>
      </x:c>
    </x:row>
    <x:row r="11">
      <x:c r="A11" s="22" t="str">
        <x:v>P3-08</x:v>
      </x:c>
      <x:c r="B11" s="22" t="str">
        <x:v>Integration</x:v>
      </x:c>
      <x:c r="C11" s="22" t="str">
        <x:v>Shared Process 2 working across the integrated system</x:v>
      </x:c>
      <x:c r="D11" s="34" t="str">
        <x:v>Wisani Nkuna; Gary van Wyk; Keamogetse Ogone Kgosi (Kea) (recording)</x:v>
      </x:c>
      <x:c r="E11" s="34" t="str">
        <x:v>2026-10-27</x:v>
      </x:c>
      <x:c r="F11" s="34"/>
      <x:c r="G11" s="34" t="str">
        <x:v>In Progress</x:v>
      </x:c>
      <x:c r="H11" s="54" t="n">
        <x:v>0.6</x:v>
      </x:c>
      <x:c r="I11" s="34" t="str">
        <x:v>Integration Progress sheet, P2</x:v>
      </x:c>
      <x:c r="J11" s="34" t="str">
        <x:v>Phase changed on the web (plus WhatsApp) is seen by the customer in Flutter/Track, and the other way round. Needs migration 0008 first.</x:v>
      </x:c>
    </x:row>
    <x:row r="12">
      <x:c r="A12" s="22" t="str">
        <x:v>P3-09</x:v>
      </x:c>
      <x:c r="B12" s="22" t="str">
        <x:v>Integration</x:v>
      </x:c>
      <x:c r="C12" s="22" t="str">
        <x:v>Data fields and status values consistent across applications</x:v>
      </x:c>
      <x:c r="D12" s="34" t="str">
        <x:v>Wisani Nkuna; Gary van Wyk</x:v>
      </x:c>
      <x:c r="E12" s="34" t="str">
        <x:v>2026-10-25</x:v>
      </x:c>
      <x:c r="F12" s="34"/>
      <x:c r="G12" s="34" t="str">
        <x:v>In Progress</x:v>
      </x:c>
      <x:c r="H12" s="54" t="n">
        <x:v>0.7</x:v>
      </x:c>
      <x:c r="I12" s="34" t="str">
        <x:v>project-docs/phase-3/unit-4-readiness.md section 4</x:v>
      </x:c>
      <x:c r="J12" s="34" t="str">
        <x:v>Status and phase values match. Open: two labour tables (jobs vs booking_labor), admin role read from two places.</x:v>
      </x:c>
    </x:row>
    <x:row r="13">
      <x:c r="A13" s="22" t="str">
        <x:v>P3-10</x:v>
      </x:c>
      <x:c r="B13" s="22" t="str">
        <x:v>SRS</x:v>
      </x:c>
      <x:c r="C13" s="22" t="str">
        <x:v>Implementation status, approved changes and known limitations updated</x:v>
      </x:c>
      <x:c r="D13" s="34" t="str">
        <x:v>Wisani Nkuna; Mathye MD (Denny); Ofentse Rammutla</x:v>
      </x:c>
      <x:c r="E13" s="34" t="str">
        <x:v>2026-10-29</x:v>
      </x:c>
      <x:c r="F13" s="34"/>
      <x:c r="G13" s="34" t="str">
        <x:v>In Progress</x:v>
      </x:c>
      <x:c r="H13" s="54" t="n">
        <x:v>0.15</x:v>
      </x:c>
      <x:c r="I13" s="34" t="str">
        <x:v>project-docs/phase-3/unit-4-readiness.md</x:v>
      </x:c>
      <x:c r="J13" s="34" t="str">
        <x:v>Readiness tables drafted 18 Oct for the SRS v3.0 implementation section.</x:v>
      </x:c>
    </x:row>
    <x:row r="14">
      <x:c r="A14" s="22" t="str">
        <x:v>P3-11</x:v>
      </x:c>
      <x:c r="B14" s="22" t="str">
        <x:v>Microsoft Project</x:v>
      </x:c>
      <x:c r="C14" s="22" t="str">
        <x:v>Schedule updated to reflect actual development progress</x:v>
      </x:c>
      <x:c r="D14" s="34" t="str">
        <x:v>Moremi KE (Khumo)</x:v>
      </x:c>
      <x:c r="E14" s="34" t="str">
        <x:v>2026-10-29</x:v>
      </x:c>
      <x:c r="F14" s="34"/>
      <x:c r="G14" s="34" t="str">
        <x:v>Not Started</x:v>
      </x:c>
      <x:c r="H14" s="54" t="n">
        <x:v>0</x:v>
      </x:c>
      <x:c r="I14" s="34" t="str"/>
      <x:c r="J14" s="34" t="str">
        <x:v>Add Unit 4 activities 4.1-4.4 and the Phase 3 tasks from this sheet; final screenshot for the SRS.</x:v>
      </x:c>
    </x:row>
    <x:row r="15">
      <x:c r="A15" s="22" t="str">
        <x:v>P3-12</x:v>
      </x:c>
      <x:c r="B15" s="22" t="str">
        <x:v>GitHub</x:v>
      </x:c>
      <x:c r="C15" s="22" t="str">
        <x:v>Current source code, README and relevant documentation organised</x:v>
      </x:c>
      <x:c r="D15" s="34" t="str">
        <x:v>Wisani Nkuna</x:v>
      </x:c>
      <x:c r="E15" s="34" t="str">
        <x:v>2026-10-29</x:v>
      </x:c>
      <x:c r="F15" s="34"/>
      <x:c r="G15" s="34" t="str">
        <x:v>In Progress</x:v>
      </x:c>
      <x:c r="H15" s="54" t="n">
        <x:v>0.6</x:v>
      </x:c>
      <x:c r="I15" s="34" t="str">
        <x:v>https://github.com/BlackZ3ro/Spanner-Riese-Auto-Clinic</x:v>
      </x:c>
      <x:c r="J15" s="34" t="str">
        <x:v>web/README has setup and Vercel steps. Latest changes uploaded folder by folder (direct push blocked). Mobile README and setup steps to check.</x:v>
      </x:c>
    </x:row>
    <x:row r="16">
      <x:c r="A16" s="22" t="str">
        <x:v>P3-13</x:v>
      </x:c>
      <x:c r="B16" s="22" t="str">
        <x:v>Final Demonstration</x:v>
      </x:c>
      <x:c r="C16" s="22" t="str">
        <x:v>Prototype and demonstration flow prepared for panel</x:v>
      </x:c>
      <x:c r="D16" s="34" t="str">
        <x:v>Everyone</x:v>
      </x:c>
      <x:c r="E16" s="34" t="str">
        <x:v>2026-10-31</x:v>
      </x:c>
      <x:c r="F16" s="34"/>
      <x:c r="G16" s="34" t="str">
        <x:v>In Progress</x:v>
      </x:c>
      <x:c r="H16" s="54" t="n">
        <x:v>0.25</x:v>
      </x:c>
      <x:c r="I16" s="34" t="str">
        <x:v>project-docs/phase-3/unit-4-readiness.md section 9</x:v>
      </x:c>
      <x:c r="J16" s="34" t="str">
        <x:v>Demo flow (P1, P2) defined; rehearsal Sat 31 Oct.</x:v>
      </x:c>
    </x:row>
    <x:row r="17">
      <x:c r="A17" s="22" t="str">
        <x:v>P3-14</x:v>
      </x:c>
      <x:c r="B17" s="22" t="str">
        <x:v>ASP.NET</x:v>
      </x:c>
      <x:c r="C17" s="22" t="str">
        <x:v>Send on WhatsApp: reference code and status updates to the customer (Mr G, 16 Oct)</x:v>
      </x:c>
      <x:c r="D17" s="34" t="str">
        <x:v>Wisani Nkuna</x:v>
      </x:c>
      <x:c r="E17" s="34" t="str">
        <x:v>2026-10-16</x:v>
      </x:c>
      <x:c r="F17" s="34" t="str">
        <x:v>2026-10-16</x:v>
      </x:c>
      <x:c r="G17" s="34" t="str">
        <x:v>Completed</x:v>
      </x:c>
      <x:c r="H17" s="54" t="n">
        <x:v>1</x:v>
      </x:c>
      <x:c r="I17" s="34" t="str">
        <x:v>web/Services/CustomerWhatsApp.cs</x:v>
      </x:c>
      <x:c r="J17" s="34" t="str">
        <x:v>Free click-to-chat link, no API key. Logic checked against 24 cases; booking-page screenshot to capture.</x:v>
      </x:c>
    </x:row>
    <x:row r="18">
      <x:c r="A18" s="22" t="str">
        <x:v>P3-15</x:v>
      </x:c>
      <x:c r="B18" s="22" t="str">
        <x:v>Flutter</x:v>
      </x:c>
      <x:c r="C18" s="22" t="str">
        <x:v>Send on WhatsApp button in the mobile app</x:v>
      </x:c>
      <x:c r="D18" s="34" t="str">
        <x:v>Gary van Wyk</x:v>
      </x:c>
      <x:c r="E18" s="34" t="str">
        <x:v>2026-10-24</x:v>
      </x:c>
      <x:c r="F18" s="34"/>
      <x:c r="G18" s="34" t="str">
        <x:v>Not Started</x:v>
      </x:c>
      <x:c r="H18" s="54" t="n">
        <x:v>0</x:v>
      </x:c>
      <x:c r="I18" s="34" t="str">
        <x:v>Gary handoff PDF section 3</x:v>
      </x:c>
      <x:c r="J18" s="34" t="str">
        <x:v>Same link and wording as the web version.</x:v>
      </x:c>
    </x:row>
    <x:row r="19">
      <x:c r="A19" s="22" t="str">
        <x:v>P3-16</x:v>
      </x:c>
      <x:c r="B19" s="22" t="str">
        <x:v>Supabase Backend</x:v>
      </x:c>
      <x:c r="C19" s="22" t="str">
        <x:v>Run migrations 0009, 0004, 0010, 0011 and send the check-query results (0008 already live, confirmed 20 Oct)</x:v>
      </x:c>
      <x:c r="D19" s="34" t="str">
        <x:v>Gary van Wyk</x:v>
      </x:c>
      <x:c r="E19" s="34" t="str">
        <x:v>2026-10-21</x:v>
      </x:c>
      <x:c r="F19" s="34"/>
      <x:c r="G19" s="34" t="str">
        <x:v>In Progress</x:v>
      </x:c>
      <x:c r="H19" s="54" t="n">
        <x:v>0.2</x:v>
      </x:c>
      <x:c r="I19" s="34" t="str">
        <x:v>supabase/migrations</x:v>
      </x:c>
      <x:c r="J19" s="34" t="str">
        <x:v>Blocks web add part (0009) and P2 (0008).</x:v>
      </x:c>
    </x:row>
    <x:row r="20">
      <x:c r="A20" s="22" t="str">
        <x:v>P3-17</x:v>
      </x:c>
      <x:c r="B20" s="22" t="str">
        <x:v>Supabase Backend</x:v>
      </x:c>
      <x:c r="C20" s="22" t="str">
        <x:v>Migration 0011: finalize and reopen admin-only in the database</x:v>
      </x:c>
      <x:c r="D20" s="34" t="str">
        <x:v>Wisani Nkuna</x:v>
      </x:c>
      <x:c r="E20" s="34" t="str">
        <x:v>2026-10-18</x:v>
      </x:c>
      <x:c r="F20" s="34" t="str">
        <x:v>2026-10-18</x:v>
      </x:c>
      <x:c r="G20" s="34" t="str">
        <x:v>Completed</x:v>
      </x:c>
      <x:c r="H20" s="54" t="n">
        <x:v>1</x:v>
      </x:c>
      <x:c r="I20" s="34" t="str">
        <x:v>supabase/migrations/0011_finalize_reopen_admin_only.sql</x:v>
      </x:c>
      <x:c r="J20" s="34" t="str">
        <x:v>Tested on a local Postgres: mechanic refused, admin allowed, phase changes unaffected. Gary runs it live (P3-16).</x:v>
      </x:c>
    </x:row>
    <x:row r="21">
      <x:c r="A21" s="22" t="str">
        <x:v>P3-18</x:v>
      </x:c>
      <x:c r="B21" s="22" t="str">
        <x:v>Supabase Backend</x:v>
      </x:c>
      <x:c r="C21" s="22" t="str">
        <x:v>Revoke the leaked Firebase service-account key</x:v>
      </x:c>
      <x:c r="D21" s="34" t="str">
        <x:v>Gary van Wyk</x:v>
      </x:c>
      <x:c r="E21" s="34" t="str">
        <x:v>2026-10-19</x:v>
      </x:c>
      <x:c r="F21" s="34"/>
      <x:c r="G21" s="34" t="str">
        <x:v>Not Started</x:v>
      </x:c>
      <x:c r="H21" s="54" t="n">
        <x:v>0</x:v>
      </x:c>
      <x:c r="I21" s="34"/>
      <x:c r="J21" s="34" t="str">
        <x:v>Open since 29 Sept.</x:v>
      </x:c>
    </x:row>
    <x:row r="22">
      <x:c r="A22" s="22" t="str">
        <x:v>P3-19</x:v>
      </x:c>
      <x:c r="B22" s="22" t="str">
        <x:v>Integration</x:v>
      </x:c>
      <x:c r="C22" s="22" t="str">
        <x:v>Decide on one labour ledger (jobs vs booking_labor) and move the other app over</x:v>
      </x:c>
      <x:c r="D22" s="34" t="str">
        <x:v>Wisani Nkuna; Gary van Wyk</x:v>
      </x:c>
      <x:c r="E22" s="34" t="str">
        <x:v>2026-10-25</x:v>
      </x:c>
      <x:c r="F22" s="34"/>
      <x:c r="G22" s="34" t="str">
        <x:v>Not Started</x:v>
      </x:c>
      <x:c r="H22" s="54" t="n">
        <x:v>0</x:v>
      </x:c>
      <x:c r="I22" s="34" t="str">
        <x:v>unit-4-readiness.md section 6</x:v>
      </x:c>
      <x:c r="J22" s="34" t="str">
        <x:v>Decision at the Tue 20 Oct meeting. Proposal: keep booking_labor.</x:v>
      </x:c>
    </x:row>
    <x:row r="23">
      <x:c r="A23" s="22" t="str">
        <x:v>P3-20</x:v>
      </x:c>
      <x:c r="B23" s="22" t="str">
        <x:v>ASP.NET</x:v>
      </x:c>
      <x:c r="C23" s="22" t="str">
        <x:v>Web reads the admin role from profiles (same as Flutter)</x:v>
      </x:c>
      <x:c r="D23" s="34" t="str">
        <x:v>Wisani Nkuna</x:v>
      </x:c>
      <x:c r="E23" s="34" t="str">
        <x:v>2026-10-25</x:v>
      </x:c>
      <x:c r="F23" s="34"/>
      <x:c r="G23" s="34" t="str">
        <x:v>Not Started</x:v>
      </x:c>
      <x:c r="H23" s="54" t="n">
        <x:v>0</x:v>
      </x:c>
      <x:c r="I23" s="34"/>
      <x:c r="J23" s="34"/>
    </x:row>
    <x:row r="24">
      <x:c r="A24" s="22" t="str">
        <x:v>P3-21</x:v>
      </x:c>
      <x:c r="B24" s="22" t="str">
        <x:v>ASP.NET</x:v>
      </x:c>
      <x:c r="C24" s="22" t="str">
        <x:v>Web app online on Vercel (riese-auto-clinic.vercel.app)</x:v>
      </x:c>
      <x:c r="D24" s="34" t="str">
        <x:v>Wisani Nkuna</x:v>
      </x:c>
      <x:c r="E24" s="34" t="str">
        <x:v>2026-10-20</x:v>
      </x:c>
      <x:c r="F24" s="34" t="str">
        <x:v>2026-10-20</x:v>
      </x:c>
      <x:c r="G24" s="34" t="str">
        <x:v>Completed</x:v>
      </x:c>
      <x:c r="H24" s="54" t="n">
        <x:v>1</x:v>
      </x:c>
      <x:c r="I24" s="34" t="str">
        <x:v>web/Dockerfile.vercel; project-docs/phase-3/hosting-on-vercel.md</x:v>
      </x:c>
      <x:c r="J24" s="34" t="str">
        <x:v>Live at https://riese-auto-clinic.vercel.app (20 Oct). Checked: login as mechanic and admin, dashboard, booking page, /Track; WhatsApp message links to /Track; mechanic sees no finalize/delete, admin does.</x:v>
      </x:c>
    </x:row>
    <x:row r="25">
      <x:c r="A25" s="22" t="str">
        <x:v>P3-22</x:v>
      </x:c>
      <x:c r="B25" s="22" t="str">
        <x:v>Flutter</x:v>
      </x:c>
      <x:c r="C25" s="22" t="str">
        <x:v>Flutter web build online on Vercel</x:v>
      </x:c>
      <x:c r="D25" s="34" t="str">
        <x:v>Gary van Wyk; Wisani Nkuna</x:v>
      </x:c>
      <x:c r="E25" s="34" t="str">
        <x:v>2026-10-25</x:v>
      </x:c>
      <x:c r="F25" s="34"/>
      <x:c r="G25" s="34" t="str">
        <x:v>Not Started</x:v>
      </x:c>
      <x:c r="H25" s="54" t="n">
        <x:v>0</x:v>
      </x:c>
      <x:c r="I25" s="34" t="str">
        <x:v>project-docs/phase-3/hosting-on-vercel.md</x:v>
      </x:c>
      <x:c r="J25" s="34" t="str">
        <x:v>Needs the web platform folder and the kIsWeb guard first.</x:v>
      </x:c>
    </x:row>
    <x:row r="26">
      <x:c r="A26" s="22" t="str">
        <x:v>P3-23</x:v>
      </x:c>
      <x:c r="B26" s="22" t="str">
        <x:v>Final Demonstration</x:v>
      </x:c>
      <x:c r="C26" s="22" t="str">
        <x:v>Acceptance visit with Michael Riese; Google Business Profile with him</x:v>
      </x:c>
      <x:c r="D26" s="34" t="str">
        <x:v>Mathye MD (Denny)</x:v>
      </x:c>
      <x:c r="E26" s="34" t="str">
        <x:v>2026-10-24</x:v>
      </x:c>
      <x:c r="F26" s="34"/>
      <x:c r="G26" s="34" t="str">
        <x:v>Not Started</x:v>
      </x:c>
      <x:c r="H26" s="54" t="n">
        <x:v>0</x:v>
      </x:c>
      <x:c r="I26" s="34" t="str">
        <x:v>project-docs/phase-2/google-business-profile.md</x:v>
      </x:c>
      <x:c r="J26" s="34" t="str">
        <x:v>Book the visit by Tue 20 Oct.</x:v>
      </x:c>
    </x:row>
    <x:row r="27">
      <x:c r="A27" s="22" t="str">
        <x:v>P3-24</x:v>
      </x:c>
      <x:c r="B27" s="22" t="str">
        <x:v>Final Demonstration</x:v>
      </x:c>
      <x:c r="C27" s="22" t="str">
        <x:v>Screenshots of every web page and Flutter screen; recording of P1 and P2</x:v>
      </x:c>
      <x:c r="D27" s="34" t="str">
        <x:v>Ofentse Rammutla; Breyton Rossouw; Keamogetse Ogone Kgosi (Kea)</x:v>
      </x:c>
      <x:c r="E27" s="34" t="str">
        <x:v>2026-10-27</x:v>
      </x:c>
      <x:c r="F27" s="34"/>
      <x:c r="G27" s="34" t="str">
        <x:v>In Progress</x:v>
      </x:c>
      <x:c r="H27" s="54" t="n">
        <x:v>0.2</x:v>
      </x:c>
      <x:c r="I27" s="34" t="str">
        <x:v>Implementation Evidence sheet</x:v>
      </x:c>
      <x:c r="J27" s="34" t="str">
        <x:v>Web: 14 screenshots of the public pages taken 20 Oct (project-docs/phase-3/evidence/web). Logged-in pages, Flutter screens and the P1/P2 recording still to do. Dummy data only.</x:v>
      </x:c>
    </x:row>
    <x:row r="28">
      <x:c r="A28" s="22" t="str">
        <x:v>P3-25</x:v>
      </x:c>
      <x:c r="B28" s="22" t="str">
        <x:v>Flutter</x:v>
      </x:c>
      <x:c r="C28" s="22" t="str">
        <x:v>Pull-to-refresh on the bookings list and booking details (reload from Supabase)</x:v>
      </x:c>
      <x:c r="D28" s="34" t="str">
        <x:v>Gary van Wyk</x:v>
      </x:c>
      <x:c r="E28" s="34" t="str">
        <x:v>2026-10-24</x:v>
      </x:c>
      <x:c r="F28" s="34"/>
      <x:c r="G28" s="34" t="str">
        <x:v>Not Started</x:v>
      </x:c>
      <x:c r="H28" s="54" t="n">
        <x:v>0</x:v>
      </x:c>
      <x:c r="I28" s="34" t="str">
        <x:v>project-docs/phase-3/code-guide.md Part 2 Step 3</x:v>
      </x:c>
      <x:c r="J28" s="34" t="str">
        <x:v>Found 20 Oct: Flutter caches bookings and parts until the app restarts, so web changes never appear. Needed for shared process P1.</x:v>
      </x:c>
    </x:row>
    <x:row r="29">
      <x:c r="A29" s="22"/>
      <x:c r="B29" s="22"/>
      <x:c r="C29" s="22"/>
      <x:c r="D29" s="34"/>
      <x:c r="E29" s="34"/>
      <x:c r="F29" s="34"/>
      <x:c r="G29" s="34"/>
      <x:c r="H29" s="54"/>
      <x:c r="I29" s="34"/>
      <x:c r="J29" s="34"/>
    </x:row>
    <x:row r="30">
      <x:c r="A30" s="22"/>
      <x:c r="B30" s="22"/>
      <x:c r="C30" s="22"/>
      <x:c r="D30" s="34"/>
      <x:c r="E30" s="34"/>
      <x:c r="F30" s="34"/>
      <x:c r="G30" s="34"/>
      <x:c r="H30" s="54"/>
      <x:c r="I30" s="34"/>
      <x:c r="J30" s="34"/>
    </x:row>
    <x:row r="31">
      <x:c r="A31" s="22"/>
      <x:c r="B31" s="22"/>
      <x:c r="C31" s="22"/>
      <x:c r="D31" s="34"/>
      <x:c r="E31" s="34"/>
      <x:c r="F31" s="34"/>
      <x:c r="G31" s="34"/>
      <x:c r="H31" s="54"/>
      <x:c r="I31" s="34"/>
      <x:c r="J31" s="34"/>
    </x:row>
    <x:row r="32">
      <x:c r="A32" s="22"/>
      <x:c r="B32" s="22"/>
      <x:c r="C32" s="22"/>
      <x:c r="D32" s="34"/>
      <x:c r="E32" s="34"/>
      <x:c r="F32" s="34"/>
      <x:c r="G32" s="34"/>
      <x:c r="H32" s="54"/>
      <x:c r="I32" s="34"/>
      <x:c r="J32" s="34"/>
    </x:row>
    <x:row r="33">
      <x:c r="A33" s="22"/>
      <x:c r="B33" s="22"/>
      <x:c r="C33" s="22"/>
      <x:c r="D33" s="34"/>
      <x:c r="E33" s="34"/>
      <x:c r="F33" s="34"/>
      <x:c r="G33" s="34"/>
      <x:c r="H33" s="54"/>
      <x:c r="I33" s="34"/>
      <x:c r="J33" s="34"/>
    </x:row>
  </x:sheetData>
  <x:mergeCells>
    <x:mergeCell ref="A1:J1"/>
  </x:mergeCells>
  <x:conditionalFormatting sqref="G4:G33">
    <x:cfRule type="expression" dxfId="0" priority="1">
      <x:formula>G4="Completed"</x:formula>
    </x:cfRule>
    <x:cfRule type="expression" dxfId="1" priority="2">
      <x:formula>G4="Blocked"</x:formula>
    </x:cfRule>
  </x:conditionalFormatting>
  <x:conditionalFormatting sqref="H4:H33">
    <x:cfRule type="dataBar" priority="3">
      <x:dataBar>
        <x:cfvo type="min"/>
        <x:cfvo type="max"/>
        <x:color rgb="FFA02B93"/>
      </x:dataBar>
      <x:extLst>
        <x:ext xmlns:x14="http://schemas.microsoft.com/office/spreadsheetml/2009/9/main" uri="{B025F937-C7B1-47D3-B67F-A62EFF666E3E}">
          <x14:id>{D7A4EB28-E7F8-4958-8D2A-D9D681754EC5}</x14:id>
        </x:ext>
      </x:extLst>
    </x:cfRule>
  </x:conditionalFormatting>
  <x:dataValidations count="1">
    <x:dataValidation type="list" sqref="G4:G33">
      <x:formula1>"Not Started,In Progress,Completed,Blocked"</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3" id="{D7A4EB28-E7F8-4958-8D2A-D9D681754EC5}">
            <x14:dataBar gradient="1">
              <x14:cfvo type="min"/>
              <x14:cfvo type="max"/>
              <x14:fillColor rgb="FFA02B93"/>
            </x14:dataBar>
          </x14:cfRule>
          <xm:sqref>H4:H33</xm:sqref>
        </x14:conditionalFormatting>
      </x14:conditionalFormattings>
    </x:ext>
  </x:extLst>
</x:worksheet>
</file>

<file path=xl/worksheets/sheet4.xml><?xml version="1.0" encoding="utf-8"?>
<x:worksheet xmlns:x="http://schemas.openxmlformats.org/spreadsheetml/2006/main">
  <x:sheetFormatPr defaultRowHeight="15"/>
  <x:cols>
    <x:col min="1" max="1" width="22" hidden="0" customWidth="1"/>
    <x:col min="2" max="2" width="16" hidden="0" customWidth="1"/>
    <x:col min="3" max="3" width="22" hidden="0" customWidth="1"/>
    <x:col min="4" max="4" width="28" hidden="0" customWidth="1"/>
    <x:col min="5" max="5" width="42" hidden="0" customWidth="1"/>
    <x:col min="6" max="6" width="15" hidden="0" customWidth="1"/>
    <x:col min="7" max="7" width="12" hidden="0" customWidth="1"/>
    <x:col min="8" max="8" width="36" hidden="0" customWidth="1"/>
    <x:col min="9" max="9" width="15" hidden="0" customWidth="1"/>
    <x:col min="10" max="10" width="15" hidden="0" customWidth="1"/>
    <x:col min="11" max="11" width="34" hidden="0" customWidth="1"/>
    <x:col min="12" max="12" width="16" hidden="0" customWidth="1"/>
  </x:cols>
  <x:sheetData>
    <x:row r="1" ht="34" customHeight="1">
      <x:c r="A1" s="5" t="str">
        <x:v>Phase 3 Individual Contributions</x:v>
      </x:c>
      <x:c r="B1" s="5"/>
      <x:c r="C1" s="5"/>
      <x:c r="D1" s="5"/>
      <x:c r="E1" s="5"/>
      <x:c r="F1" s="5"/>
      <x:c r="G1" s="5"/>
      <x:c r="H1" s="5"/>
      <x:c r="I1" s="5"/>
      <x:c r="J1" s="5"/>
      <x:c r="K1" s="5"/>
      <x:c r="L1" s="5"/>
    </x:row>
    <x:row r="3" ht="30" customHeight="1">
      <x:c r="A3" s="17" t="str">
        <x:v>Student Name</x:v>
      </x:c>
      <x:c r="B3" s="17" t="str">
        <x:v>Student Number</x:v>
      </x:c>
      <x:c r="C3" s="17" t="str">
        <x:v>Development Area</x:v>
      </x:c>
      <x:c r="D3" s="17" t="str">
        <x:v>Assigned Responsibility</x:v>
      </x:c>
      <x:c r="E3" s="17" t="str">
        <x:v>Work Personally Completed</x:v>
      </x:c>
      <x:c r="F3" s="17" t="str">
        <x:v>Date Completed</x:v>
      </x:c>
      <x:c r="G3" s="17" t="str">
        <x:v>Hours Spent</x:v>
      </x:c>
      <x:c r="H3" s="17" t="str">
        <x:v>Evidence / GitHub Link</x:v>
      </x:c>
      <x:c r="I3" s="17" t="str">
        <x:v>Verified by Group</x:v>
      </x:c>
      <x:c r="J3" s="17" t="str">
        <x:v>Verification Date</x:v>
      </x:c>
      <x:c r="K3" s="17" t="str">
        <x:v>Quality / Review Notes</x:v>
      </x:c>
      <x:c r="L3" s="17" t="str">
        <x:v>Contribution Status</x:v>
      </x:c>
    </x:row>
    <x:row r="4">
      <x:c r="A4" s="34" t="str">
        <x:v>Wisani Nkuna</x:v>
      </x:c>
      <x:c r="B4" s="34" t="str">
        <x:v>222010787</x:v>
      </x:c>
      <x:c r="C4" s="34" t="str">
        <x:v>ASP.NET</x:v>
      </x:c>
      <x:c r="D4" s="34" t="str">
        <x:v>Phase 2 feedback in the web app</x:v>
      </x:c>
      <x:c r="E4" s="34" t="str">
        <x:v>Send on WhatsApp button: reference code at book-in, status updates, thank-you with invoice number (web/Services/CustomerWhatsApp.cs, Pages/Bookings/Details)</x:v>
      </x:c>
      <x:c r="F4" s="34" t="str">
        <x:v>2026-10-16</x:v>
      </x:c>
      <x:c r="G4" s="34" t="str"/>
      <x:c r="H4" s="34" t="str">
        <x:v>web/Services/CustomerWhatsApp.cs</x:v>
      </x:c>
      <x:c r="I4" s="34" t="str">
        <x:v>No</x:v>
      </x:c>
      <x:c r="J4" s="34" t="str"/>
      <x:c r="K4" s="34" t="str"/>
      <x:c r="L4" s="34" t="str">
        <x:v>Completed</x:v>
      </x:c>
    </x:row>
    <x:row r="5">
      <x:c r="A5" s="34" t="str">
        <x:v>Wisani Nkuna</x:v>
      </x:c>
      <x:c r="B5" s="34" t="str">
        <x:v>222010787</x:v>
      </x:c>
      <x:c r="C5" s="34" t="str">
        <x:v>ASP.NET</x:v>
      </x:c>
      <x:c r="D5" s="34" t="str">
        <x:v>Phase 2 feedback (Mr G: Riese on Google)</x:v>
      </x:c>
      <x:c r="E5" s="34" t="str">
        <x:v>Riese titles and link-preview tags on public pages; Google Business Profile guide for Michael</x:v>
      </x:c>
      <x:c r="F5" s="34" t="str">
        <x:v>2026-10-16</x:v>
      </x:c>
      <x:c r="G5" s="34" t="str"/>
      <x:c r="H5" s="34" t="str">
        <x:v>project-docs/phase-2/google-business-profile.md</x:v>
      </x:c>
      <x:c r="I5" s="34" t="str">
        <x:v>No</x:v>
      </x:c>
      <x:c r="J5" s="34" t="str"/>
      <x:c r="K5" s="34" t="str"/>
      <x:c r="L5" s="34" t="str">
        <x:v>Completed</x:v>
      </x:c>
    </x:row>
    <x:row r="6">
      <x:c r="A6" s="34" t="str">
        <x:v>Wisani Nkuna</x:v>
      </x:c>
      <x:c r="B6" s="34" t="str">
        <x:v>222010787</x:v>
      </x:c>
      <x:c r="C6" s="34" t="str">
        <x:v>Supabase Backend</x:v>
      </x:c>
      <x:c r="D6" s="34" t="str">
        <x:v>Database access rules</x:v>
      </x:c>
      <x:c r="E6" s="34" t="str">
        <x:v>Migration 0010 (bookings.created_by) and 0011 (finalize/reopen admin-only), 0011 tested on a local Postgres</x:v>
      </x:c>
      <x:c r="F6" s="34" t="str">
        <x:v>2026-10-18</x:v>
      </x:c>
      <x:c r="G6" s="34" t="str"/>
      <x:c r="H6" s="34" t="str">
        <x:v>supabase/migrations/0010, 0011</x:v>
      </x:c>
      <x:c r="I6" s="34" t="str">
        <x:v>No</x:v>
      </x:c>
      <x:c r="J6" s="34" t="str"/>
      <x:c r="K6" s="34" t="str"/>
      <x:c r="L6" s="34" t="str">
        <x:v>Completed</x:v>
      </x:c>
    </x:row>
    <x:row r="7">
      <x:c r="A7" s="34" t="str">
        <x:v>Wisani Nkuna</x:v>
      </x:c>
      <x:c r="B7" s="34" t="str">
        <x:v>222010787</x:v>
      </x:c>
      <x:c r="C7" s="34" t="str">
        <x:v>ASP.NET</x:v>
      </x:c>
      <x:c r="D7" s="34" t="str">
        <x:v>Hosting</x:v>
      </x:c>
      <x:c r="E7" s="34" t="str">
        <x:v>Web app prepared for Vercel: Dockerfile.vercel, forwarded headers, Vercel project, hosting plan</x:v>
      </x:c>
      <x:c r="F7" s="34" t="str">
        <x:v>2026-10-17</x:v>
      </x:c>
      <x:c r="G7" s="34" t="str"/>
      <x:c r="H7" s="34" t="str">
        <x:v>web/Dockerfile.vercel; project-docs/phase-3/hosting-on-vercel.md</x:v>
      </x:c>
      <x:c r="I7" s="34" t="str">
        <x:v>No</x:v>
      </x:c>
      <x:c r="J7" s="34" t="str"/>
      <x:c r="K7" s="34" t="str"/>
      <x:c r="L7" s="34" t="str">
        <x:v>In Progress</x:v>
      </x:c>
    </x:row>
    <x:row r="8">
      <x:c r="A8" s="34" t="str">
        <x:v>Wisani Nkuna</x:v>
      </x:c>
      <x:c r="B8" s="34" t="str">
        <x:v>222010787</x:v>
      </x:c>
      <x:c r="C8" s="34" t="str">
        <x:v>Integration</x:v>
      </x:c>
      <x:c r="D8" s="34" t="str">
        <x:v>Phase 3 coordination</x:v>
      </x:c>
      <x:c r="E8" s="34" t="str">
        <x:v>Unit 4 readiness pack (functions, shared processes, consistency, roles, integration problems), Phase 3 plan, Gary handoff, this tracker</x:v>
      </x:c>
      <x:c r="F8" s="34" t="str">
        <x:v>2026-10-19</x:v>
      </x:c>
      <x:c r="G8" s="34" t="str"/>
      <x:c r="H8" s="34" t="str">
        <x:v>project-docs/phase-3/</x:v>
      </x:c>
      <x:c r="I8" s="34" t="str">
        <x:v>No</x:v>
      </x:c>
      <x:c r="J8" s="34" t="str"/>
      <x:c r="K8" s="34" t="str"/>
      <x:c r="L8" s="34" t="str">
        <x:v>Completed</x:v>
      </x:c>
    </x:row>
    <x:row r="9">
      <x:c r="A9" s="34" t="str">
        <x:v>Wisani Nkuna</x:v>
      </x:c>
      <x:c r="B9" s="34" t="str">
        <x:v>222010787</x:v>
      </x:c>
      <x:c r="C9" s="34" t="str">
        <x:v>Integration</x:v>
      </x:c>
      <x:c r="D9" s="34" t="str">
        <x:v>Live checks</x:v>
      </x:c>
      <x:c r="E9" s="34" t="str">
        <x:v>Ran the web app against the live Supabase project; checked access rules with the public key; fixed the wrong-password message; took the evidence screenshots</x:v>
      </x:c>
      <x:c r="F9" s="34" t="str">
        <x:v>2026-10-20</x:v>
      </x:c>
      <x:c r="G9" s="34" t="str"/>
      <x:c r="H9" s="34" t="str">
        <x:v>project-docs/phase-3/evidence/</x:v>
      </x:c>
      <x:c r="I9" s="34" t="str">
        <x:v>No</x:v>
      </x:c>
      <x:c r="J9" s="34" t="str"/>
      <x:c r="K9" s="34" t="str"/>
      <x:c r="L9" s="34" t="str">
        <x:v>Completed</x:v>
      </x:c>
    </x:row>
    <x:row r="10">
      <x:c r="A10" s="34" t="str">
        <x:v>Wisani Nkuna</x:v>
      </x:c>
      <x:c r="B10" s="34" t="str">
        <x:v>222010787</x:v>
      </x:c>
      <x:c r="C10" s="34" t="str">
        <x:v>ASP.NET</x:v>
      </x:c>
      <x:c r="D10" s="34" t="str">
        <x:v>Hosting</x:v>
      </x:c>
      <x:c r="E10" s="34" t="str">
        <x:v>Web app deployed on Vercel; fixed the login HTTP 400 (shared encryption key across containers); checked the live site with both staff accounts</x:v>
      </x:c>
      <x:c r="F10" s="34" t="str">
        <x:v>2026-10-20</x:v>
      </x:c>
      <x:c r="G10" s="34" t="str"/>
      <x:c r="H10" s="34" t="str">
        <x:v>web/Auth/FixedKeyRepository.cs; https://riese-auto-clinic.vercel.app</x:v>
      </x:c>
      <x:c r="I10" s="34" t="str">
        <x:v>No</x:v>
      </x:c>
      <x:c r="J10" s="34" t="str"/>
      <x:c r="K10" s="34" t="str"/>
      <x:c r="L10" s="34" t="str">
        <x:v>Completed</x:v>
      </x:c>
    </x:row>
    <x:row r="11">
      <x:c r="A11" s="34" t="str"/>
      <x:c r="B11" s="34" t="str"/>
      <x:c r="C11" s="34" t="str"/>
      <x:c r="D11" s="34" t="str"/>
      <x:c r="E11" s="34" t="str"/>
      <x:c r="F11" s="34" t="str"/>
      <x:c r="G11" s="34" t="str"/>
      <x:c r="H11" s="34" t="str"/>
      <x:c r="I11" s="34" t="str">
        <x:v>No</x:v>
      </x:c>
      <x:c r="J11" s="34" t="str"/>
      <x:c r="K11" s="34" t="str"/>
      <x:c r="L11" s="34" t="str">
        <x:v>Not Started</x:v>
      </x:c>
    </x:row>
    <x:row r="12">
      <x:c r="A12" s="34" t="str"/>
      <x:c r="B12" s="34" t="str"/>
      <x:c r="C12" s="34" t="str"/>
      <x:c r="D12" s="34" t="str"/>
      <x:c r="E12" s="34" t="str"/>
      <x:c r="F12" s="34" t="str"/>
      <x:c r="G12" s="34" t="str"/>
      <x:c r="H12" s="34" t="str"/>
      <x:c r="I12" s="34" t="str">
        <x:v>No</x:v>
      </x:c>
      <x:c r="J12" s="34" t="str"/>
      <x:c r="K12" s="34" t="str"/>
      <x:c r="L12" s="34" t="str">
        <x:v>Not Started</x:v>
      </x:c>
    </x:row>
    <x:row r="13">
      <x:c r="A13" s="34" t="str"/>
      <x:c r="B13" s="34" t="str"/>
      <x:c r="C13" s="34" t="str"/>
      <x:c r="D13" s="34" t="str"/>
      <x:c r="E13" s="34" t="str"/>
      <x:c r="F13" s="34" t="str"/>
      <x:c r="G13" s="34" t="str"/>
      <x:c r="H13" s="34" t="str"/>
      <x:c r="I13" s="34" t="str">
        <x:v>No</x:v>
      </x:c>
      <x:c r="J13" s="34" t="str"/>
      <x:c r="K13" s="34" t="str"/>
      <x:c r="L13" s="34" t="str">
        <x:v>Not Started</x:v>
      </x:c>
    </x:row>
    <x:row r="14">
      <x:c r="A14" s="34" t="str"/>
      <x:c r="B14" s="34" t="str"/>
      <x:c r="C14" s="34" t="str"/>
      <x:c r="D14" s="34" t="str"/>
      <x:c r="E14" s="34" t="str"/>
      <x:c r="F14" s="34" t="str"/>
      <x:c r="G14" s="34" t="str"/>
      <x:c r="H14" s="34" t="str"/>
      <x:c r="I14" s="34" t="str">
        <x:v>No</x:v>
      </x:c>
      <x:c r="J14" s="34" t="str"/>
      <x:c r="K14" s="34" t="str"/>
      <x:c r="L14" s="34" t="str">
        <x:v>Not Started</x:v>
      </x:c>
    </x:row>
    <x:row r="15">
      <x:c r="A15" s="34" t="str"/>
      <x:c r="B15" s="34" t="str"/>
      <x:c r="C15" s="34" t="str"/>
      <x:c r="D15" s="34" t="str"/>
      <x:c r="E15" s="34" t="str"/>
      <x:c r="F15" s="34" t="str"/>
      <x:c r="G15" s="34" t="str"/>
      <x:c r="H15" s="34" t="str"/>
      <x:c r="I15" s="34" t="str">
        <x:v>No</x:v>
      </x:c>
      <x:c r="J15" s="34" t="str"/>
      <x:c r="K15" s="34" t="str"/>
      <x:c r="L15" s="34" t="str">
        <x:v>Not Started</x:v>
      </x:c>
    </x:row>
    <x:row r="16">
      <x:c r="A16" s="34" t="str"/>
      <x:c r="B16" s="34" t="str"/>
      <x:c r="C16" s="34" t="str"/>
      <x:c r="D16" s="34" t="str"/>
      <x:c r="E16" s="34" t="str"/>
      <x:c r="F16" s="34" t="str"/>
      <x:c r="G16" s="34" t="str"/>
      <x:c r="H16" s="34" t="str"/>
      <x:c r="I16" s="34" t="str">
        <x:v>No</x:v>
      </x:c>
      <x:c r="J16" s="34" t="str"/>
      <x:c r="K16" s="34" t="str"/>
      <x:c r="L16" s="34" t="str">
        <x:v>Not Started</x:v>
      </x:c>
    </x:row>
    <x:row r="17">
      <x:c r="A17" s="34" t="str"/>
      <x:c r="B17" s="34" t="str"/>
      <x:c r="C17" s="34" t="str"/>
      <x:c r="D17" s="34" t="str"/>
      <x:c r="E17" s="34" t="str"/>
      <x:c r="F17" s="34" t="str"/>
      <x:c r="G17" s="34" t="str"/>
      <x:c r="H17" s="34" t="str"/>
      <x:c r="I17" s="34" t="str">
        <x:v>No</x:v>
      </x:c>
      <x:c r="J17" s="34" t="str"/>
      <x:c r="K17" s="34" t="str"/>
      <x:c r="L17" s="34" t="str">
        <x:v>Not Started</x:v>
      </x:c>
    </x:row>
    <x:row r="18">
      <x:c r="A18" s="34" t="str"/>
      <x:c r="B18" s="34" t="str"/>
      <x:c r="C18" s="34" t="str"/>
      <x:c r="D18" s="34" t="str"/>
      <x:c r="E18" s="34" t="str"/>
      <x:c r="F18" s="34" t="str"/>
      <x:c r="G18" s="34" t="str"/>
      <x:c r="H18" s="34" t="str"/>
      <x:c r="I18" s="34" t="str">
        <x:v>No</x:v>
      </x:c>
      <x:c r="J18" s="34" t="str"/>
      <x:c r="K18" s="34" t="str"/>
      <x:c r="L18" s="34" t="str">
        <x:v>Not Started</x:v>
      </x:c>
    </x:row>
    <x:row r="19">
      <x:c r="A19" s="34" t="str"/>
      <x:c r="B19" s="34" t="str"/>
      <x:c r="C19" s="34" t="str"/>
      <x:c r="D19" s="34" t="str"/>
      <x:c r="E19" s="34" t="str"/>
      <x:c r="F19" s="34" t="str"/>
      <x:c r="G19" s="34" t="str"/>
      <x:c r="H19" s="34" t="str"/>
      <x:c r="I19" s="34" t="str">
        <x:v>No</x:v>
      </x:c>
      <x:c r="J19" s="34" t="str"/>
      <x:c r="K19" s="34" t="str"/>
      <x:c r="L19" s="34" t="str">
        <x:v>Not Started</x:v>
      </x:c>
    </x:row>
    <x:row r="20">
      <x:c r="A20" s="34" t="str"/>
      <x:c r="B20" s="34" t="str"/>
      <x:c r="C20" s="34" t="str"/>
      <x:c r="D20" s="34" t="str"/>
      <x:c r="E20" s="34" t="str"/>
      <x:c r="F20" s="34" t="str"/>
      <x:c r="G20" s="34" t="str"/>
      <x:c r="H20" s="34" t="str"/>
      <x:c r="I20" s="34" t="str">
        <x:v>No</x:v>
      </x:c>
      <x:c r="J20" s="34" t="str"/>
      <x:c r="K20" s="34" t="str"/>
      <x:c r="L20" s="34" t="str">
        <x:v>Not Started</x:v>
      </x:c>
    </x:row>
    <x:row r="21">
      <x:c r="A21" s="34" t="str"/>
      <x:c r="B21" s="34" t="str"/>
      <x:c r="C21" s="34" t="str"/>
      <x:c r="D21" s="34" t="str"/>
      <x:c r="E21" s="34" t="str"/>
      <x:c r="F21" s="34" t="str"/>
      <x:c r="G21" s="34" t="str"/>
      <x:c r="H21" s="34" t="str"/>
      <x:c r="I21" s="34" t="str">
        <x:v>No</x:v>
      </x:c>
      <x:c r="J21" s="34" t="str"/>
      <x:c r="K21" s="34" t="str"/>
      <x:c r="L21" s="34" t="str">
        <x:v>Not Started</x:v>
      </x:c>
    </x:row>
    <x:row r="22">
      <x:c r="A22" s="34" t="str"/>
      <x:c r="B22" s="34" t="str"/>
      <x:c r="C22" s="34" t="str"/>
      <x:c r="D22" s="34" t="str"/>
      <x:c r="E22" s="34" t="str"/>
      <x:c r="F22" s="34" t="str"/>
      <x:c r="G22" s="34" t="str"/>
      <x:c r="H22" s="34" t="str"/>
      <x:c r="I22" s="34" t="str">
        <x:v>No</x:v>
      </x:c>
      <x:c r="J22" s="34" t="str"/>
      <x:c r="K22" s="34" t="str"/>
      <x:c r="L22" s="34" t="str">
        <x:v>Not Started</x:v>
      </x:c>
    </x:row>
    <x:row r="23">
      <x:c r="A23" s="34" t="str"/>
      <x:c r="B23" s="34" t="str"/>
      <x:c r="C23" s="34" t="str"/>
      <x:c r="D23" s="34" t="str"/>
      <x:c r="E23" s="34" t="str"/>
      <x:c r="F23" s="34" t="str"/>
      <x:c r="G23" s="34" t="str"/>
      <x:c r="H23" s="34" t="str"/>
      <x:c r="I23" s="34" t="str">
        <x:v>No</x:v>
      </x:c>
      <x:c r="J23" s="34" t="str"/>
      <x:c r="K23" s="34" t="str"/>
      <x:c r="L23" s="34" t="str">
        <x:v>Not Started</x:v>
      </x:c>
    </x:row>
    <x:row r="24">
      <x:c r="A24" s="34" t="str"/>
      <x:c r="B24" s="34" t="str"/>
      <x:c r="C24" s="34" t="str"/>
      <x:c r="D24" s="34" t="str"/>
      <x:c r="E24" s="34" t="str"/>
      <x:c r="F24" s="34" t="str"/>
      <x:c r="G24" s="34" t="str"/>
      <x:c r="H24" s="34" t="str"/>
      <x:c r="I24" s="34" t="str">
        <x:v>No</x:v>
      </x:c>
      <x:c r="J24" s="34" t="str"/>
      <x:c r="K24" s="34" t="str"/>
      <x:c r="L24" s="34" t="str">
        <x:v>Not Started</x:v>
      </x:c>
    </x:row>
    <x:row r="25">
      <x:c r="A25" s="34" t="str"/>
      <x:c r="B25" s="34" t="str"/>
      <x:c r="C25" s="34" t="str"/>
      <x:c r="D25" s="34" t="str"/>
      <x:c r="E25" s="34" t="str"/>
      <x:c r="F25" s="34" t="str"/>
      <x:c r="G25" s="34" t="str"/>
      <x:c r="H25" s="34" t="str"/>
      <x:c r="I25" s="34" t="str">
        <x:v>No</x:v>
      </x:c>
      <x:c r="J25" s="34" t="str"/>
      <x:c r="K25" s="34" t="str"/>
      <x:c r="L25" s="34" t="str">
        <x:v>Not Started</x:v>
      </x:c>
    </x:row>
    <x:row r="26">
      <x:c r="A26" s="34" t="str"/>
      <x:c r="B26" s="34" t="str"/>
      <x:c r="C26" s="34" t="str"/>
      <x:c r="D26" s="34" t="str"/>
      <x:c r="E26" s="34" t="str"/>
      <x:c r="F26" s="34" t="str"/>
      <x:c r="G26" s="34" t="str"/>
      <x:c r="H26" s="34" t="str"/>
      <x:c r="I26" s="34" t="str">
        <x:v>No</x:v>
      </x:c>
      <x:c r="J26" s="34" t="str"/>
      <x:c r="K26" s="34" t="str"/>
      <x:c r="L26" s="34" t="str">
        <x:v>Not Started</x:v>
      </x:c>
    </x:row>
    <x:row r="27">
      <x:c r="A27" s="34" t="str"/>
      <x:c r="B27" s="34" t="str"/>
      <x:c r="C27" s="34" t="str"/>
      <x:c r="D27" s="34" t="str"/>
      <x:c r="E27" s="34" t="str"/>
      <x:c r="F27" s="34" t="str"/>
      <x:c r="G27" s="34" t="str"/>
      <x:c r="H27" s="34" t="str"/>
      <x:c r="I27" s="34" t="str">
        <x:v>No</x:v>
      </x:c>
      <x:c r="J27" s="34" t="str"/>
      <x:c r="K27" s="34" t="str"/>
      <x:c r="L27" s="34" t="str">
        <x:v>Not Started</x:v>
      </x:c>
    </x:row>
    <x:row r="28">
      <x:c r="A28" s="34" t="str"/>
      <x:c r="B28" s="34" t="str"/>
      <x:c r="C28" s="34" t="str"/>
      <x:c r="D28" s="34" t="str"/>
      <x:c r="E28" s="34" t="str"/>
      <x:c r="F28" s="34" t="str"/>
      <x:c r="G28" s="34" t="str"/>
      <x:c r="H28" s="34" t="str"/>
      <x:c r="I28" s="34" t="str">
        <x:v>No</x:v>
      </x:c>
      <x:c r="J28" s="34" t="str"/>
      <x:c r="K28" s="34" t="str"/>
      <x:c r="L28" s="34" t="str">
        <x:v>Not Started</x:v>
      </x:c>
    </x:row>
    <x:row r="29">
      <x:c r="A29" s="34" t="str"/>
      <x:c r="B29" s="34" t="str"/>
      <x:c r="C29" s="34" t="str"/>
      <x:c r="D29" s="34" t="str"/>
      <x:c r="E29" s="34" t="str"/>
      <x:c r="F29" s="34" t="str"/>
      <x:c r="G29" s="34" t="str"/>
      <x:c r="H29" s="34" t="str"/>
      <x:c r="I29" s="34" t="str">
        <x:v>No</x:v>
      </x:c>
      <x:c r="J29" s="34" t="str"/>
      <x:c r="K29" s="34" t="str"/>
      <x:c r="L29" s="34" t="str">
        <x:v>Not Started</x:v>
      </x:c>
    </x:row>
    <x:row r="30">
      <x:c r="A30" s="34" t="str"/>
      <x:c r="B30" s="34" t="str"/>
      <x:c r="C30" s="34" t="str"/>
      <x:c r="D30" s="34" t="str"/>
      <x:c r="E30" s="34" t="str"/>
      <x:c r="F30" s="34" t="str"/>
      <x:c r="G30" s="34" t="str"/>
      <x:c r="H30" s="34" t="str"/>
      <x:c r="I30" s="34" t="str">
        <x:v>No</x:v>
      </x:c>
      <x:c r="J30" s="34" t="str"/>
      <x:c r="K30" s="34" t="str"/>
      <x:c r="L30" s="34" t="str">
        <x:v>Not Started</x:v>
      </x:c>
    </x:row>
    <x:row r="31">
      <x:c r="A31" s="34" t="str"/>
      <x:c r="B31" s="34" t="str"/>
      <x:c r="C31" s="34" t="str"/>
      <x:c r="D31" s="34" t="str"/>
      <x:c r="E31" s="34" t="str"/>
      <x:c r="F31" s="34" t="str"/>
      <x:c r="G31" s="34" t="str"/>
      <x:c r="H31" s="34" t="str"/>
      <x:c r="I31" s="34" t="str">
        <x:v>No</x:v>
      </x:c>
      <x:c r="J31" s="34" t="str"/>
      <x:c r="K31" s="34" t="str"/>
      <x:c r="L31" s="34" t="str">
        <x:v>Not Started</x:v>
      </x:c>
    </x:row>
    <x:row r="32">
      <x:c r="A32" s="34" t="str"/>
      <x:c r="B32" s="34" t="str"/>
      <x:c r="C32" s="34" t="str"/>
      <x:c r="D32" s="34" t="str"/>
      <x:c r="E32" s="34" t="str"/>
      <x:c r="F32" s="34" t="str"/>
      <x:c r="G32" s="34" t="str"/>
      <x:c r="H32" s="34" t="str"/>
      <x:c r="I32" s="34" t="str">
        <x:v>No</x:v>
      </x:c>
      <x:c r="J32" s="34" t="str"/>
      <x:c r="K32" s="34" t="str"/>
      <x:c r="L32" s="34" t="str">
        <x:v>Not Started</x:v>
      </x:c>
    </x:row>
    <x:row r="33">
      <x:c r="A33" s="34" t="str"/>
      <x:c r="B33" s="34" t="str"/>
      <x:c r="C33" s="34" t="str"/>
      <x:c r="D33" s="34" t="str"/>
      <x:c r="E33" s="34" t="str"/>
      <x:c r="F33" s="34" t="str"/>
      <x:c r="G33" s="34" t="str"/>
      <x:c r="H33" s="34" t="str"/>
      <x:c r="I33" s="34" t="str">
        <x:v>No</x:v>
      </x:c>
      <x:c r="J33" s="34" t="str"/>
      <x:c r="K33" s="34" t="str"/>
      <x:c r="L33" s="34" t="str">
        <x:v>Not Started</x:v>
      </x:c>
    </x:row>
    <x:row r="34">
      <x:c r="A34" s="34" t="str"/>
      <x:c r="B34" s="34" t="str"/>
      <x:c r="C34" s="34" t="str"/>
      <x:c r="D34" s="34" t="str"/>
      <x:c r="E34" s="34" t="str"/>
      <x:c r="F34" s="34" t="str"/>
      <x:c r="G34" s="34" t="str"/>
      <x:c r="H34" s="34" t="str"/>
      <x:c r="I34" s="34" t="str">
        <x:v>No</x:v>
      </x:c>
      <x:c r="J34" s="34" t="str"/>
      <x:c r="K34" s="34" t="str"/>
      <x:c r="L34" s="34" t="str">
        <x:v>Not Started</x:v>
      </x:c>
    </x:row>
    <x:row r="35">
      <x:c r="A35" s="34" t="str"/>
      <x:c r="B35" s="34" t="str"/>
      <x:c r="C35" s="34" t="str"/>
      <x:c r="D35" s="34" t="str"/>
      <x:c r="E35" s="34" t="str"/>
      <x:c r="F35" s="34" t="str"/>
      <x:c r="G35" s="34" t="str"/>
      <x:c r="H35" s="34" t="str"/>
      <x:c r="I35" s="34" t="str">
        <x:v>No</x:v>
      </x:c>
      <x:c r="J35" s="34" t="str"/>
      <x:c r="K35" s="34" t="str"/>
      <x:c r="L35" s="34" t="str">
        <x:v>Not Started</x:v>
      </x:c>
    </x:row>
    <x:row r="36">
      <x:c r="A36" s="34" t="str"/>
      <x:c r="B36" s="34" t="str"/>
      <x:c r="C36" s="34" t="str"/>
      <x:c r="D36" s="34" t="str"/>
      <x:c r="E36" s="34" t="str"/>
      <x:c r="F36" s="34" t="str"/>
      <x:c r="G36" s="34" t="str"/>
      <x:c r="H36" s="34" t="str"/>
      <x:c r="I36" s="34" t="str">
        <x:v>No</x:v>
      </x:c>
      <x:c r="J36" s="34" t="str"/>
      <x:c r="K36" s="34" t="str"/>
      <x:c r="L36" s="34" t="str">
        <x:v>Not Started</x:v>
      </x:c>
    </x:row>
    <x:row r="37">
      <x:c r="A37" s="34" t="str"/>
      <x:c r="B37" s="34" t="str"/>
      <x:c r="C37" s="34" t="str"/>
      <x:c r="D37" s="34" t="str"/>
      <x:c r="E37" s="34" t="str"/>
      <x:c r="F37" s="34" t="str"/>
      <x:c r="G37" s="34" t="str"/>
      <x:c r="H37" s="34" t="str"/>
      <x:c r="I37" s="34" t="str">
        <x:v>No</x:v>
      </x:c>
      <x:c r="J37" s="34" t="str"/>
      <x:c r="K37" s="34" t="str"/>
      <x:c r="L37" s="34" t="str">
        <x:v>Not Started</x:v>
      </x:c>
    </x:row>
    <x:row r="38">
      <x:c r="A38" s="34" t="str"/>
      <x:c r="B38" s="34" t="str"/>
      <x:c r="C38" s="34" t="str"/>
      <x:c r="D38" s="34" t="str"/>
      <x:c r="E38" s="34" t="str"/>
      <x:c r="F38" s="34" t="str"/>
      <x:c r="G38" s="34" t="str"/>
      <x:c r="H38" s="34" t="str"/>
      <x:c r="I38" s="34" t="str">
        <x:v>No</x:v>
      </x:c>
      <x:c r="J38" s="34" t="str"/>
      <x:c r="K38" s="34" t="str"/>
      <x:c r="L38" s="34" t="str">
        <x:v>Not Started</x:v>
      </x:c>
    </x:row>
    <x:row r="39">
      <x:c r="A39" s="34" t="str"/>
      <x:c r="B39" s="34" t="str"/>
      <x:c r="C39" s="34" t="str"/>
      <x:c r="D39" s="34" t="str"/>
      <x:c r="E39" s="34" t="str"/>
      <x:c r="F39" s="34" t="str"/>
      <x:c r="G39" s="34" t="str"/>
      <x:c r="H39" s="34" t="str"/>
      <x:c r="I39" s="34" t="str">
        <x:v>No</x:v>
      </x:c>
      <x:c r="J39" s="34" t="str"/>
      <x:c r="K39" s="34" t="str"/>
      <x:c r="L39" s="34" t="str">
        <x:v>Not Started</x:v>
      </x:c>
    </x:row>
    <x:row r="40">
      <x:c r="A40" s="34" t="str"/>
      <x:c r="B40" s="34" t="str"/>
      <x:c r="C40" s="34" t="str"/>
      <x:c r="D40" s="34" t="str"/>
      <x:c r="E40" s="34" t="str"/>
      <x:c r="F40" s="34" t="str"/>
      <x:c r="G40" s="34" t="str"/>
      <x:c r="H40" s="34" t="str"/>
      <x:c r="I40" s="34" t="str">
        <x:v>No</x:v>
      </x:c>
      <x:c r="J40" s="34" t="str"/>
      <x:c r="K40" s="34" t="str"/>
      <x:c r="L40" s="34" t="str">
        <x:v>Not Started</x:v>
      </x:c>
    </x:row>
    <x:row r="41">
      <x:c r="A41" s="34" t="str"/>
      <x:c r="B41" s="34" t="str"/>
      <x:c r="C41" s="34" t="str"/>
      <x:c r="D41" s="34" t="str"/>
      <x:c r="E41" s="34" t="str"/>
      <x:c r="F41" s="34" t="str"/>
      <x:c r="G41" s="34" t="str"/>
      <x:c r="H41" s="34" t="str"/>
      <x:c r="I41" s="34" t="str">
        <x:v>No</x:v>
      </x:c>
      <x:c r="J41" s="34" t="str"/>
      <x:c r="K41" s="34" t="str"/>
      <x:c r="L41" s="34" t="str">
        <x:v>Not Started</x:v>
      </x:c>
    </x:row>
    <x:row r="42">
      <x:c r="A42" s="34" t="str"/>
      <x:c r="B42" s="34" t="str"/>
      <x:c r="C42" s="34" t="str"/>
      <x:c r="D42" s="34" t="str"/>
      <x:c r="E42" s="34" t="str"/>
      <x:c r="F42" s="34" t="str"/>
      <x:c r="G42" s="34" t="str"/>
      <x:c r="H42" s="34" t="str"/>
      <x:c r="I42" s="34" t="str">
        <x:v>No</x:v>
      </x:c>
      <x:c r="J42" s="34" t="str"/>
      <x:c r="K42" s="34" t="str"/>
      <x:c r="L42" s="34" t="str">
        <x:v>Not Started</x:v>
      </x:c>
    </x:row>
    <x:row r="43">
      <x:c r="A43" s="34" t="str"/>
      <x:c r="B43" s="34" t="str"/>
      <x:c r="C43" s="34" t="str"/>
      <x:c r="D43" s="34" t="str"/>
      <x:c r="E43" s="34" t="str"/>
      <x:c r="F43" s="34" t="str"/>
      <x:c r="G43" s="34" t="str"/>
      <x:c r="H43" s="34" t="str"/>
      <x:c r="I43" s="34" t="str">
        <x:v>No</x:v>
      </x:c>
      <x:c r="J43" s="34" t="str"/>
      <x:c r="K43" s="34" t="str"/>
      <x:c r="L43" s="34" t="str">
        <x:v>Not Started</x:v>
      </x:c>
    </x:row>
    <x:row r="44">
      <x:c r="A44" s="34" t="str"/>
      <x:c r="B44" s="34" t="str"/>
      <x:c r="C44" s="34" t="str"/>
      <x:c r="D44" s="34" t="str"/>
      <x:c r="E44" s="34" t="str"/>
      <x:c r="F44" s="34" t="str"/>
      <x:c r="G44" s="34" t="str"/>
      <x:c r="H44" s="34" t="str"/>
      <x:c r="I44" s="34" t="str">
        <x:v>No</x:v>
      </x:c>
      <x:c r="J44" s="34" t="str"/>
      <x:c r="K44" s="34" t="str"/>
      <x:c r="L44" s="34" t="str">
        <x:v>Not Started</x:v>
      </x:c>
    </x:row>
    <x:row r="45">
      <x:c r="A45" s="34" t="str"/>
      <x:c r="B45" s="34" t="str"/>
      <x:c r="C45" s="34" t="str"/>
      <x:c r="D45" s="34" t="str"/>
      <x:c r="E45" s="34" t="str"/>
      <x:c r="F45" s="34" t="str"/>
      <x:c r="G45" s="34" t="str"/>
      <x:c r="H45" s="34" t="str"/>
      <x:c r="I45" s="34" t="str">
        <x:v>No</x:v>
      </x:c>
      <x:c r="J45" s="34" t="str"/>
      <x:c r="K45" s="34" t="str"/>
      <x:c r="L45" s="34" t="str">
        <x:v>Not Started</x:v>
      </x:c>
    </x:row>
    <x:row r="46">
      <x:c r="A46" s="34" t="str"/>
      <x:c r="B46" s="34" t="str"/>
      <x:c r="C46" s="34" t="str"/>
      <x:c r="D46" s="34" t="str"/>
      <x:c r="E46" s="34" t="str"/>
      <x:c r="F46" s="34" t="str"/>
      <x:c r="G46" s="34" t="str"/>
      <x:c r="H46" s="34" t="str"/>
      <x:c r="I46" s="34" t="str">
        <x:v>No</x:v>
      </x:c>
      <x:c r="J46" s="34" t="str"/>
      <x:c r="K46" s="34" t="str"/>
      <x:c r="L46" s="34" t="str">
        <x:v>Not Started</x:v>
      </x:c>
    </x:row>
    <x:row r="47">
      <x:c r="A47" s="34" t="str"/>
      <x:c r="B47" s="34" t="str"/>
      <x:c r="C47" s="34" t="str"/>
      <x:c r="D47" s="34" t="str"/>
      <x:c r="E47" s="34" t="str"/>
      <x:c r="F47" s="34" t="str"/>
      <x:c r="G47" s="34" t="str"/>
      <x:c r="H47" s="34" t="str"/>
      <x:c r="I47" s="34" t="str">
        <x:v>No</x:v>
      </x:c>
      <x:c r="J47" s="34" t="str"/>
      <x:c r="K47" s="34" t="str"/>
      <x:c r="L47" s="34" t="str">
        <x:v>Not Started</x:v>
      </x:c>
    </x:row>
    <x:row r="48">
      <x:c r="A48" s="34" t="str"/>
      <x:c r="B48" s="34" t="str"/>
      <x:c r="C48" s="34" t="str"/>
      <x:c r="D48" s="34" t="str"/>
      <x:c r="E48" s="34" t="str"/>
      <x:c r="F48" s="34" t="str"/>
      <x:c r="G48" s="34" t="str"/>
      <x:c r="H48" s="34" t="str"/>
      <x:c r="I48" s="34" t="str">
        <x:v>No</x:v>
      </x:c>
      <x:c r="J48" s="34" t="str"/>
      <x:c r="K48" s="34" t="str"/>
      <x:c r="L48" s="34" t="str">
        <x:v>Not Started</x:v>
      </x:c>
    </x:row>
    <x:row r="49">
      <x:c r="A49" s="34" t="str"/>
      <x:c r="B49" s="34" t="str"/>
      <x:c r="C49" s="34" t="str"/>
      <x:c r="D49" s="34" t="str"/>
      <x:c r="E49" s="34" t="str"/>
      <x:c r="F49" s="34" t="str"/>
      <x:c r="G49" s="34" t="str"/>
      <x:c r="H49" s="34" t="str"/>
      <x:c r="I49" s="34" t="str">
        <x:v>No</x:v>
      </x:c>
      <x:c r="J49" s="34" t="str"/>
      <x:c r="K49" s="34" t="str"/>
      <x:c r="L49" s="34" t="str">
        <x:v>Not Started</x:v>
      </x:c>
    </x:row>
    <x:row r="50">
      <x:c r="A50" s="34" t="str"/>
      <x:c r="B50" s="34" t="str"/>
      <x:c r="C50" s="34" t="str"/>
      <x:c r="D50" s="34" t="str"/>
      <x:c r="E50" s="34" t="str"/>
      <x:c r="F50" s="34" t="str"/>
      <x:c r="G50" s="34" t="str"/>
      <x:c r="H50" s="34" t="str"/>
      <x:c r="I50" s="34" t="str">
        <x:v>No</x:v>
      </x:c>
      <x:c r="J50" s="34" t="str"/>
      <x:c r="K50" s="34" t="str"/>
      <x:c r="L50" s="34" t="str">
        <x:v>Not Started</x:v>
      </x:c>
    </x:row>
    <x:row r="51">
      <x:c r="A51" s="34" t="str"/>
      <x:c r="B51" s="34" t="str"/>
      <x:c r="C51" s="34" t="str"/>
      <x:c r="D51" s="34" t="str"/>
      <x:c r="E51" s="34" t="str"/>
      <x:c r="F51" s="34" t="str"/>
      <x:c r="G51" s="34" t="str"/>
      <x:c r="H51" s="34" t="str"/>
      <x:c r="I51" s="34" t="str">
        <x:v>No</x:v>
      </x:c>
      <x:c r="J51" s="34" t="str"/>
      <x:c r="K51" s="34" t="str"/>
      <x:c r="L51" s="34" t="str">
        <x:v>Not Started</x:v>
      </x:c>
    </x:row>
    <x:row r="52">
      <x:c r="A52" s="34" t="str"/>
      <x:c r="B52" s="34" t="str"/>
      <x:c r="C52" s="34" t="str"/>
      <x:c r="D52" s="34" t="str"/>
      <x:c r="E52" s="34" t="str"/>
      <x:c r="F52" s="34" t="str"/>
      <x:c r="G52" s="34" t="str"/>
      <x:c r="H52" s="34" t="str"/>
      <x:c r="I52" s="34" t="str">
        <x:v>No</x:v>
      </x:c>
      <x:c r="J52" s="34" t="str"/>
      <x:c r="K52" s="34" t="str"/>
      <x:c r="L52" s="34" t="str">
        <x:v>Not Started</x:v>
      </x:c>
    </x:row>
    <x:row r="53">
      <x:c r="A53" s="34" t="str"/>
      <x:c r="B53" s="34" t="str"/>
      <x:c r="C53" s="34" t="str"/>
      <x:c r="D53" s="34" t="str"/>
      <x:c r="E53" s="34" t="str"/>
      <x:c r="F53" s="34" t="str"/>
      <x:c r="G53" s="34" t="str"/>
      <x:c r="H53" s="34" t="str"/>
      <x:c r="I53" s="34" t="str">
        <x:v>No</x:v>
      </x:c>
      <x:c r="J53" s="34" t="str"/>
      <x:c r="K53" s="34" t="str"/>
      <x:c r="L53" s="34" t="str">
        <x:v>Not Started</x:v>
      </x:c>
    </x:row>
  </x:sheetData>
  <x:mergeCells>
    <x:mergeCell ref="A1:L1"/>
  </x:mergeCells>
  <x:conditionalFormatting sqref="L4:L53">
    <x:cfRule type="expression" dxfId="2" priority="1">
      <x:formula>L4="Completed"</x:formula>
    </x:cfRule>
  </x:conditionalFormatting>
  <x:dataValidations count="3">
    <x:dataValidation type="list" sqref="C4:C53">
      <x:formula1>"Supabase Backend,Flutter,ASP.NET,Integration,SRS,Microsoft Project,GitHub,Final Demonstration,Other"</x:formula1>
    </x:dataValidation>
    <x:dataValidation type="list" sqref="I4:I53">
      <x:formula1>"Yes,No"</x:formula1>
    </x:dataValidation>
    <x:dataValidation type="list" sqref="L4:L53">
      <x:formula1>"Not Started,In Progress,Completed,Blocked"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30" hidden="0" customWidth="1"/>
    <x:col min="3" max="3" width="34" hidden="0" customWidth="1"/>
    <x:col min="4" max="4" width="34" hidden="0" customWidth="1"/>
    <x:col min="5" max="5" width="34" hidden="0" customWidth="1"/>
    <x:col min="6" max="6" width="15" hidden="0" customWidth="1"/>
    <x:col min="7" max="7" width="24" hidden="0" customWidth="1"/>
    <x:col min="8" max="8" width="35" hidden="0" customWidth="1"/>
    <x:col min="9" max="9" width="34" hidden="0" customWidth="1"/>
  </x:cols>
  <x:sheetData>
    <x:row r="1" ht="34" customHeight="1">
      <x:c r="A1" s="5" t="str">
        <x:v>Phase 3 Shared Process and Integration Progress</x:v>
      </x:c>
      <x:c r="B1" s="5"/>
      <x:c r="C1" s="5"/>
      <x:c r="D1" s="5"/>
      <x:c r="E1" s="5"/>
      <x:c r="F1" s="5"/>
      <x:c r="G1" s="5"/>
      <x:c r="H1" s="5"/>
      <x:c r="I1" s="5"/>
    </x:row>
    <x:row r="3" ht="30" customHeight="1">
      <x:c r="A3" s="17" t="str">
        <x:v>Shared Process</x:v>
      </x:c>
      <x:c r="B3" s="17" t="str">
        <x:v>Related Requirement / Use Case</x:v>
      </x:c>
      <x:c r="C3" s="17" t="str">
        <x:v>Flutter Action</x:v>
      </x:c>
      <x:c r="D3" s="17" t="str">
        <x:v>ASP.NET Action</x:v>
      </x:c>
      <x:c r="E3" s="17" t="str">
        <x:v>Shared Supabase Information</x:v>
      </x:c>
      <x:c r="F3" s="17" t="str">
        <x:v>Current Status</x:v>
      </x:c>
      <x:c r="G3" s="17" t="str">
        <x:v>Responsible Student(s)</x:v>
      </x:c>
      <x:c r="H3" s="17" t="str">
        <x:v>Evidence / Link</x:v>
      </x:c>
      <x:c r="I3" s="17" t="str">
        <x:v>Notes / Limitation</x:v>
      </x:c>
    </x:row>
    <x:row r="4">
      <x:c r="A4" s="34" t="str">
        <x:v>P1: Book-in reaches the other app (both directions)</x:v>
      </x:c>
      <x:c r="B4" s="34" t="str">
        <x:v>FR-01, FR-04, FR-09; Book in a vehicle, Update booking</x:v>
      </x:c>
      <x:c r="C4" s="34" t="str">
        <x:v>Staff book in a vehicle; later open it and see the part added on the web, with stock reduced</x:v>
      </x:c>
      <x:c r="D4" s="34" t="str">
        <x:v>Booking appears on the dashboard; staff open it and add a part</x:v>
      </x:c>
      <x:c r="E4" s="34" t="str">
        <x:v>bookings, customers, booking_parts, stock_items, stock_movements</x:v>
      </x:c>
      <x:c r="F4" s="34" t="str">
        <x:v>In Progress</x:v>
      </x:c>
      <x:c r="G4" s="34" t="str">
        <x:v>Wisani Nkuna; Gary van Wyk; Keamogetse Ogone Kgosi (Kea) (recording)</x:v>
      </x:c>
      <x:c r="H4" s="34" t="str">
        <x:v>Recording to capture (Tue 27 Oct)</x:v>
      </x:c>
      <x:c r="I4" s="34" t="str">
        <x:v>Built. Web add part uses a workaround until migration 0009 is run. Flutter needs pull-to-refresh (P3-25) to show web changes.</x:v>
      </x:c>
    </x:row>
    <x:row r="5">
      <x:c r="A5" s="34" t="str">
        <x:v>P2: Repair progress reaches the customer</x:v>
      </x:c>
      <x:c r="B5" s="34" t="str">
        <x:v>FR-14, FR-15, FR-16; Track repair status, Update booking phase</x:v>
      </x:c>
      <x:c r="C5" s="34" t="str">
        <x:v>Customer enters the reference code and sees the phase (push on Android); staff can also change the phase</x:v>
      </x:c>
      <x:c r="D5" s="34" t="str">
        <x:v>Staff change the phase and Send on WhatsApp; /Track shows the phase</x:v>
      </x:c>
      <x:c r="E5" s="34" t="str">
        <x:v>bookings.phase, bookings.reference_code, booking_push_tokens</x:v>
      </x:c>
      <x:c r="F5" s="34" t="str">
        <x:v>In Progress</x:v>
      </x:c>
      <x:c r="G5" s="34" t="str">
        <x:v>Wisani Nkuna; Gary van Wyk; Keamogetse Ogone Kgosi (Kea) (recording)</x:v>
      </x:c>
      <x:c r="H5" s="34" t="str">
        <x:v>Recording to capture (Tue 27 Oct)</x:v>
      </x:c>
      <x:c r="I5" s="34" t="str">
        <x:v>Built. Migration 0008 must be run first (phase can currently be changed without a login).</x:v>
      </x:c>
    </x:row>
    <x:row r="6">
      <x:c r="A6" s="34" t="str">
        <x:v>P3: Parts and stock stay in step</x:v>
      </x:c>
      <x:c r="B6" s="34" t="str">
        <x:v>FR-03, FR-04, FR-10</x:v>
      </x:c>
      <x:c r="C6" s="34" t="str">
        <x:v>Mechanic adds a part to a booking; stock drops</x:v>
      </x:c>
      <x:c r="D6" s="34" t="str">
        <x:v>Stock page shows the new quantity; part is on the web invoice</x:v>
      </x:c>
      <x:c r="E6" s="34" t="str">
        <x:v>booking_parts, stock_items, stock_movements</x:v>
      </x:c>
      <x:c r="F6" s="34" t="str">
        <x:v>In Progress</x:v>
      </x:c>
      <x:c r="G6" s="34" t="str">
        <x:v>Gary van Wyk; Wisani Nkuna</x:v>
      </x:c>
      <x:c r="H6" s="34" t="str"/>
      <x:c r="I6" s="34" t="str">
        <x:v>Mobile adds a part with three separate calls (not all-or-nothing); to switch to add_booking_part.</x:v>
      </x:c>
    </x:row>
    <x:row r="7">
      <x:c r="A7" s="34" t="str">
        <x:v>P4: Admin closes the job</x:v>
      </x:c>
      <x:c r="B7" s="34" t="str">
        <x:v>FR-07, FR-17</x:v>
      </x:c>
      <x:c r="C7" s="34" t="str">
        <x:v>Booking shows as closed; customer sees "Finalized"</x:v>
      </x:c>
      <x:c r="D7" s="34" t="str">
        <x:v>Admin finalizes the booking; invoice PDF</x:v>
      </x:c>
      <x:c r="E7" s="34" t="str">
        <x:v>bookings.status, bookings.phase, bookings.closed_at</x:v>
      </x:c>
      <x:c r="F7" s="34" t="str">
        <x:v>In Progress</x:v>
      </x:c>
      <x:c r="G7" s="34" t="str">
        <x:v>Wisani Nkuna; Gary van Wyk</x:v>
      </x:c>
      <x:c r="H7" s="34" t="str"/>
      <x:c r="I7" s="34" t="str">
        <x:v>Same values in both apps. Admin-only rule enforced in the database once 0011 is run.</x:v>
      </x:c>
    </x:row>
    <x:row r="8">
      <x:c r="A8" s="34" t="str"/>
      <x:c r="B8" s="34" t="str"/>
      <x:c r="C8" s="34" t="str"/>
      <x:c r="D8" s="34" t="str"/>
      <x:c r="E8" s="34" t="str"/>
      <x:c r="F8" s="34" t="str">
        <x:v>Not Started</x:v>
      </x:c>
      <x:c r="G8" s="34" t="str"/>
      <x:c r="H8" s="34" t="str"/>
      <x:c r="I8" s="34" t="str"/>
    </x:row>
    <x:row r="9">
      <x:c r="A9" s="34" t="str"/>
      <x:c r="B9" s="34" t="str"/>
      <x:c r="C9" s="34" t="str"/>
      <x:c r="D9" s="34" t="str"/>
      <x:c r="E9" s="34" t="str"/>
      <x:c r="F9" s="34" t="str">
        <x:v>Not Started</x:v>
      </x:c>
      <x:c r="G9" s="34" t="str"/>
      <x:c r="H9" s="34" t="str"/>
      <x:c r="I9" s="34" t="str"/>
    </x:row>
    <x:row r="10">
      <x:c r="A10" s="34" t="str"/>
      <x:c r="B10" s="34" t="str"/>
      <x:c r="C10" s="34" t="str"/>
      <x:c r="D10" s="34" t="str"/>
      <x:c r="E10" s="34" t="str"/>
      <x:c r="F10" s="34" t="str">
        <x:v>Not Started</x:v>
      </x:c>
      <x:c r="G10" s="34" t="str"/>
      <x:c r="H10" s="34" t="str"/>
      <x:c r="I10" s="34" t="str"/>
    </x:row>
    <x:row r="11">
      <x:c r="A11" s="34" t="str"/>
      <x:c r="B11" s="34" t="str"/>
      <x:c r="C11" s="34" t="str"/>
      <x:c r="D11" s="34" t="str"/>
      <x:c r="E11" s="34" t="str"/>
      <x:c r="F11" s="34" t="str">
        <x:v>Not Started</x:v>
      </x:c>
      <x:c r="G11" s="34" t="str"/>
      <x:c r="H11" s="34" t="str"/>
      <x:c r="I11" s="34" t="str"/>
    </x:row>
    <x:row r="12">
      <x:c r="A12" s="34" t="str"/>
      <x:c r="B12" s="34" t="str"/>
      <x:c r="C12" s="34" t="str"/>
      <x:c r="D12" s="34" t="str"/>
      <x:c r="E12" s="34" t="str"/>
      <x:c r="F12" s="34" t="str">
        <x:v>Not Started</x:v>
      </x:c>
      <x:c r="G12" s="34" t="str"/>
      <x:c r="H12" s="34" t="str"/>
      <x:c r="I12" s="34" t="str"/>
    </x:row>
    <x:row r="13">
      <x:c r="A13" s="34" t="str"/>
      <x:c r="B13" s="34" t="str"/>
      <x:c r="C13" s="34" t="str"/>
      <x:c r="D13" s="34" t="str"/>
      <x:c r="E13" s="34" t="str"/>
      <x:c r="F13" s="34" t="str">
        <x:v>Not Started</x:v>
      </x:c>
      <x:c r="G13" s="34" t="str"/>
      <x:c r="H13" s="34" t="str"/>
      <x:c r="I13" s="34" t="str"/>
    </x:row>
    <x:row r="14">
      <x:c r="A14" s="34" t="str"/>
      <x:c r="B14" s="34" t="str"/>
      <x:c r="C14" s="34" t="str"/>
      <x:c r="D14" s="34" t="str"/>
      <x:c r="E14" s="34" t="str"/>
      <x:c r="F14" s="34" t="str">
        <x:v>Not Started</x:v>
      </x:c>
      <x:c r="G14" s="34" t="str"/>
      <x:c r="H14" s="34" t="str"/>
      <x:c r="I14" s="34" t="str"/>
    </x:row>
    <x:row r="15">
      <x:c r="A15" s="34" t="str"/>
      <x:c r="B15" s="34" t="str"/>
      <x:c r="C15" s="34" t="str"/>
      <x:c r="D15" s="34" t="str"/>
      <x:c r="E15" s="34" t="str"/>
      <x:c r="F15" s="34" t="str">
        <x:v>Not Started</x:v>
      </x:c>
      <x:c r="G15" s="34" t="str"/>
      <x:c r="H15" s="34" t="str"/>
      <x:c r="I15" s="34" t="str"/>
    </x:row>
    <x:row r="16">
      <x:c r="A16" s="34" t="str"/>
      <x:c r="B16" s="34" t="str"/>
      <x:c r="C16" s="34" t="str"/>
      <x:c r="D16" s="34" t="str"/>
      <x:c r="E16" s="34" t="str"/>
      <x:c r="F16" s="34" t="str">
        <x:v>Not Started</x:v>
      </x:c>
      <x:c r="G16" s="34" t="str"/>
      <x:c r="H16" s="34" t="str"/>
      <x:c r="I16" s="34" t="str"/>
    </x:row>
    <x:row r="17">
      <x:c r="A17" s="34" t="str"/>
      <x:c r="B17" s="34" t="str"/>
      <x:c r="C17" s="34" t="str"/>
      <x:c r="D17" s="34" t="str"/>
      <x:c r="E17" s="34" t="str"/>
      <x:c r="F17" s="34" t="str">
        <x:v>Not Started</x:v>
      </x:c>
      <x:c r="G17" s="34" t="str"/>
      <x:c r="H17" s="34" t="str"/>
      <x:c r="I17" s="34" t="str"/>
    </x:row>
    <x:row r="18">
      <x:c r="A18" s="34" t="str"/>
      <x:c r="B18" s="34" t="str"/>
      <x:c r="C18" s="34" t="str"/>
      <x:c r="D18" s="34" t="str"/>
      <x:c r="E18" s="34" t="str"/>
      <x:c r="F18" s="34" t="str">
        <x:v>Not Started</x:v>
      </x:c>
      <x:c r="G18" s="34" t="str"/>
      <x:c r="H18" s="34" t="str"/>
      <x:c r="I18" s="34" t="str"/>
    </x:row>
    <x:row r="19">
      <x:c r="A19" s="34" t="str"/>
      <x:c r="B19" s="34" t="str"/>
      <x:c r="C19" s="34" t="str"/>
      <x:c r="D19" s="34" t="str"/>
      <x:c r="E19" s="34" t="str"/>
      <x:c r="F19" s="34" t="str">
        <x:v>Not Started</x:v>
      </x:c>
      <x:c r="G19" s="34" t="str"/>
      <x:c r="H19" s="34" t="str"/>
      <x:c r="I19" s="34" t="str"/>
    </x:row>
    <x:row r="20">
      <x:c r="A20" s="34" t="str"/>
      <x:c r="B20" s="34" t="str"/>
      <x:c r="C20" s="34" t="str"/>
      <x:c r="D20" s="34" t="str"/>
      <x:c r="E20" s="34" t="str"/>
      <x:c r="F20" s="34" t="str">
        <x:v>Not Started</x:v>
      </x:c>
      <x:c r="G20" s="34" t="str"/>
      <x:c r="H20" s="34" t="str"/>
      <x:c r="I20" s="34" t="str"/>
    </x:row>
    <x:row r="21">
      <x:c r="A21" s="34" t="str"/>
      <x:c r="B21" s="34" t="str"/>
      <x:c r="C21" s="34" t="str"/>
      <x:c r="D21" s="34" t="str"/>
      <x:c r="E21" s="34" t="str"/>
      <x:c r="F21" s="34" t="str">
        <x:v>Not Started</x:v>
      </x:c>
      <x:c r="G21" s="34" t="str"/>
      <x:c r="H21" s="34" t="str"/>
      <x:c r="I21" s="34" t="str"/>
    </x:row>
    <x:row r="22">
      <x:c r="A22" s="34" t="str"/>
      <x:c r="B22" s="34" t="str"/>
      <x:c r="C22" s="34" t="str"/>
      <x:c r="D22" s="34" t="str"/>
      <x:c r="E22" s="34" t="str"/>
      <x:c r="F22" s="34" t="str">
        <x:v>Not Started</x:v>
      </x:c>
      <x:c r="G22" s="34" t="str"/>
      <x:c r="H22" s="34" t="str"/>
      <x:c r="I22" s="34" t="str"/>
    </x:row>
    <x:row r="23">
      <x:c r="A23" s="34" t="str"/>
      <x:c r="B23" s="34" t="str"/>
      <x:c r="C23" s="34" t="str"/>
      <x:c r="D23" s="34" t="str"/>
      <x:c r="E23" s="34" t="str"/>
      <x:c r="F23" s="34" t="str">
        <x:v>Not Started</x:v>
      </x:c>
      <x:c r="G23" s="34" t="str"/>
      <x:c r="H23" s="34" t="str"/>
      <x:c r="I23" s="34" t="str"/>
    </x:row>
  </x:sheetData>
  <x:mergeCells>
    <x:mergeCell ref="A1:I1"/>
  </x:mergeCells>
  <x:conditionalFormatting sqref="F4:F23">
    <x:cfRule type="expression" dxfId="3" priority="1">
      <x:formula>F4="Completed"</x:formula>
    </x:cfRule>
    <x:cfRule type="expression" dxfId="4" priority="2">
      <x:formula>F4="Blocked"</x:formula>
    </x:cfRule>
  </x:conditionalFormatting>
  <x:dataValidations count="1">
    <x:dataValidation type="list" sqref="F4:F23">
      <x:formula1>"Not Started,In Progress,Completed,Blocked"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22" hidden="0" customWidth="1"/>
    <x:col min="3" max="3" width="34" hidden="0" customWidth="1"/>
    <x:col min="4" max="4" width="22" hidden="0" customWidth="1"/>
    <x:col min="5" max="5" width="40" hidden="0" customWidth="1"/>
    <x:col min="6" max="6" width="28" hidden="0" customWidth="1"/>
    <x:col min="7" max="7" width="23" hidden="0" customWidth="1"/>
    <x:col min="8" max="8" width="32" hidden="0" customWidth="1"/>
  </x:cols>
  <x:sheetData>
    <x:row r="1" ht="34" customHeight="1">
      <x:c r="A1" s="5" t="str">
        <x:v>Phase 3 Implementation Evidence</x:v>
      </x:c>
      <x:c r="B1" s="5"/>
      <x:c r="C1" s="5"/>
      <x:c r="D1" s="5"/>
      <x:c r="E1" s="5"/>
      <x:c r="F1" s="5"/>
      <x:c r="G1" s="5"/>
      <x:c r="H1" s="5"/>
    </x:row>
    <x:row r="3" ht="30" customHeight="1">
      <x:c r="A3" s="17" t="str">
        <x:v>Evidence ID</x:v>
      </x:c>
      <x:c r="B3" s="17" t="str">
        <x:v>Application / Area</x:v>
      </x:c>
      <x:c r="C3" s="17" t="str">
        <x:v>Function / Feature</x:v>
      </x:c>
      <x:c r="D3" s="17" t="str">
        <x:v>Evidence Type</x:v>
      </x:c>
      <x:c r="E3" s="17" t="str">
        <x:v>Evidence / Link / File</x:v>
      </x:c>
      <x:c r="F3" s="17" t="str">
        <x:v>Related SRS Requirement</x:v>
      </x:c>
      <x:c r="G3" s="17" t="str">
        <x:v>Responsible Student</x:v>
      </x:c>
      <x:c r="H3" s="17" t="str">
        <x:v>Notes</x:v>
      </x:c>
    </x:row>
    <x:row r="4">
      <x:c r="A4" s="34" t="str">
        <x:v>E-01</x:v>
      </x:c>
      <x:c r="B4" s="34" t="str">
        <x:v>ASP.NET</x:v>
      </x:c>
      <x:c r="C4" s="34" t="str">
        <x:v>Send on WhatsApp</x:v>
      </x:c>
      <x:c r="D4" s="34" t="str">
        <x:v>GitHub Commit/PR</x:v>
      </x:c>
      <x:c r="E4" s="34" t="str">
        <x:v>web/Services/CustomerWhatsApp.cs; web/Pages/Bookings/Details.cshtml</x:v>
      </x:c>
      <x:c r="F4" s="34" t="str">
        <x:v>Mr G feedback, FR-14</x:v>
      </x:c>
      <x:c r="G4" s="34" t="str">
        <x:v>Wisani Nkuna</x:v>
      </x:c>
      <x:c r="H4" s="34" t="str">
        <x:v>Phone, message and link logic checked against 24 cases. Booking-page screenshot still to capture.</x:v>
      </x:c>
    </x:row>
    <x:row r="5">
      <x:c r="A5" s="34" t="str">
        <x:v>E-02</x:v>
      </x:c>
      <x:c r="B5" s="34" t="str">
        <x:v>Supabase Backend</x:v>
      </x:c>
      <x:c r="C5" s="34" t="str">
        <x:v>Finalize/reopen admin-only (0011)</x:v>
      </x:c>
      <x:c r="D5" s="34" t="str">
        <x:v>GitHub Commit/PR</x:v>
      </x:c>
      <x:c r="E5" s="34" t="str">
        <x:v>supabase/migrations/0011_finalize_reopen_admin_only.sql</x:v>
      </x:c>
      <x:c r="F5" s="34" t="str">
        <x:v>FR-17</x:v>
      </x:c>
      <x:c r="G5" s="34" t="str">
        <x:v>Wisani Nkuna</x:v>
      </x:c>
      <x:c r="H5" s="34" t="str">
        <x:v>Tested on a local Postgres 18 Oct; live result to add after Gary runs it.</x:v>
      </x:c>
    </x:row>
    <x:row r="6">
      <x:c r="A6" s="34" t="str">
        <x:v>E-03</x:v>
      </x:c>
      <x:c r="B6" s="34" t="str">
        <x:v>Integration</x:v>
      </x:c>
      <x:c r="C6" s="34" t="str">
        <x:v>Functions, shared processes, consistency and roles tables</x:v>
      </x:c>
      <x:c r="D6" s="34" t="str">
        <x:v>SRS Section</x:v>
      </x:c>
      <x:c r="E6" s="34" t="str">
        <x:v>project-docs/phase-3/unit-4-readiness.md</x:v>
      </x:c>
      <x:c r="F6" s="34" t="str">
        <x:v>FR-01 to FR-18</x:v>
      </x:c>
      <x:c r="G6" s="34" t="str">
        <x:v>Wisani Nkuna</x:v>
      </x:c>
      <x:c r="H6" s="34" t="str">
        <x:v>To be copied into the SRS v3.0 implementation section.</x:v>
      </x:c>
    </x:row>
    <x:row r="7">
      <x:c r="A7" s="34" t="str">
        <x:v>E-04</x:v>
      </x:c>
      <x:c r="B7" s="34" t="str">
        <x:v>ASP.NET</x:v>
      </x:c>
      <x:c r="C7" s="34" t="str">
        <x:v>Web app hosting on Vercel</x:v>
      </x:c>
      <x:c r="D7" s="34" t="str">
        <x:v>GitHub Commit/PR</x:v>
      </x:c>
      <x:c r="E7" s="34" t="str">
        <x:v>web/Dockerfile.vercel; project-docs/phase-3/hosting-on-vercel.md</x:v>
      </x:c>
      <x:c r="F7" s="34" t="str">
        <x:v>NFR-06</x:v>
      </x:c>
      <x:c r="G7" s="34" t="str">
        <x:v>Wisani Nkuna</x:v>
      </x:c>
      <x:c r="H7" s="34" t="str">
        <x:v>Local Docker build serves login and /Track. Live address to add after deploy.</x:v>
      </x:c>
    </x:row>
    <x:row r="8">
      <x:c r="A8" s="34" t="str">
        <x:v>E-05</x:v>
      </x:c>
      <x:c r="B8" s="34" t="str">
        <x:v>ASP.NET</x:v>
      </x:c>
      <x:c r="C8" s="34" t="str">
        <x:v>Screenshots of every web page</x:v>
      </x:c>
      <x:c r="D8" s="34" t="str">
        <x:v>Screenshot</x:v>
      </x:c>
      <x:c r="E8" s="34" t="str">
        <x:v>Pending (due Sun 25 Oct)</x:v>
      </x:c>
      <x:c r="F8" s="34" t="str">
        <x:v>FR-01 to FR-18</x:v>
      </x:c>
      <x:c r="G8" s="34" t="str">
        <x:v>Ofentse Rammutla</x:v>
      </x:c>
      <x:c r="H8" s="34" t="str">
        <x:v>Dummy data only.</x:v>
      </x:c>
    </x:row>
    <x:row r="9">
      <x:c r="A9" s="34" t="str">
        <x:v>E-06</x:v>
      </x:c>
      <x:c r="B9" s="34" t="str">
        <x:v>Flutter</x:v>
      </x:c>
      <x:c r="C9" s="34" t="str">
        <x:v>Screenshots of every mobile screen</x:v>
      </x:c>
      <x:c r="D9" s="34" t="str">
        <x:v>Screenshot</x:v>
      </x:c>
      <x:c r="E9" s="34" t="str">
        <x:v>Pending (due Sun 25 Oct)</x:v>
      </x:c>
      <x:c r="F9" s="34" t="str">
        <x:v>FR-01 to FR-18</x:v>
      </x:c>
      <x:c r="G9" s="34" t="str">
        <x:v>Breyton Rossouw</x:v>
      </x:c>
      <x:c r="H9" s="34" t="str">
        <x:v>Dummy data only.</x:v>
      </x:c>
    </x:row>
    <x:row r="10">
      <x:c r="A10" s="34" t="str">
        <x:v>E-07</x:v>
      </x:c>
      <x:c r="B10" s="34" t="str">
        <x:v>Integration</x:v>
      </x:c>
      <x:c r="C10" s="34" t="str">
        <x:v>Recording of shared processes P1 and P2</x:v>
      </x:c>
      <x:c r="D10" s="34" t="str">
        <x:v>Short Recording</x:v>
      </x:c>
      <x:c r="E10" s="34" t="str">
        <x:v>Pending (due Tue 27 Oct)</x:v>
      </x:c>
      <x:c r="F10" s="34" t="str">
        <x:v>FR-01, FR-14, FR-15</x:v>
      </x:c>
      <x:c r="G10" s="34" t="str">
        <x:v>Keamogetse Ogone Kgosi (Kea)</x:v>
      </x:c>
      <x:c r="H10" s="34" t="str">
        <x:v>Phone and laptop side by side.</x:v>
      </x:c>
    </x:row>
    <x:row r="11">
      <x:c r="A11" s="34" t="str">
        <x:v>E-08</x:v>
      </x:c>
      <x:c r="B11" s="34" t="str">
        <x:v>Supabase Backend</x:v>
      </x:c>
      <x:c r="C11" s="34" t="str">
        <x:v>Table Editor before/after the demo booking; check-query results</x:v>
      </x:c>
      <x:c r="D11" s="34" t="str">
        <x:v>Supabase Evidence</x:v>
      </x:c>
      <x:c r="E11" s="34" t="str">
        <x:v>Pending (due Tue 27 Oct; queries Wed 21 Oct)</x:v>
      </x:c>
      <x:c r="F11" s="34" t="str">
        <x:v>NFR-04, NFR-05</x:v>
      </x:c>
      <x:c r="G11" s="34" t="str">
        <x:v>Gary van Wyk</x:v>
      </x:c>
      <x:c r="H11" s="34" t="str">
        <x:v>Hide keys and personal data.</x:v>
      </x:c>
    </x:row>
    <x:row r="12">
      <x:c r="A12" s="34" t="str">
        <x:v>E-09</x:v>
      </x:c>
      <x:c r="B12" s="34" t="str">
        <x:v>Microsoft Project</x:v>
      </x:c>
      <x:c r="C12" s="34" t="str">
        <x:v>Schedule with Unit 4 tasks</x:v>
      </x:c>
      <x:c r="D12" s="34" t="str">
        <x:v>Screenshot</x:v>
      </x:c>
      <x:c r="E12" s="34" t="str">
        <x:v>Pending (due Thu 29 Oct)</x:v>
      </x:c>
      <x:c r="F12" s="34" t="str">
        <x:v>-</x:v>
      </x:c>
      <x:c r="G12" s="34" t="str">
        <x:v>Moremi KE (Khumo)</x:v>
      </x:c>
      <x:c r="H12" s="34" t="str"/>
    </x:row>
    <x:row r="13">
      <x:c r="A13" s="34" t="str">
        <x:v>E-10</x:v>
      </x:c>
      <x:c r="B13" s="34" t="str">
        <x:v>ASP.NET</x:v>
      </x:c>
      <x:c r="C13" s="34" t="str">
        <x:v>Login, wrong password, empty fields, protected-page redirect, /Track start, invalid code, unknown code (desktop and phone)</x:v>
      </x:c>
      <x:c r="D13" s="34" t="str">
        <x:v>Screenshot</x:v>
      </x:c>
      <x:c r="E13" s="34" t="str">
        <x:v>project-docs/phase-3/evidence/web (14 screenshots)</x:v>
      </x:c>
      <x:c r="F13" s="34" t="str">
        <x:v>FR-12, FR-14, NFR-01, NFR-03</x:v>
      </x:c>
      <x:c r="G13" s="34" t="str">
        <x:v>Wisani Nkuna</x:v>
      </x:c>
      <x:c r="H13" s="34" t="str">
        <x:v>Web app running against the live Supabase project, 20 Oct. No keys or personal data shown.</x:v>
      </x:c>
    </x:row>
    <x:row r="14">
      <x:c r="A14" s="34" t="str">
        <x:v>E-11</x:v>
      </x:c>
      <x:c r="B14" s="34" t="str">
        <x:v>Supabase Backend</x:v>
      </x:c>
      <x:c r="C14" s="34" t="str">
        <x:v>Live access-rule checks with the public key</x:v>
      </x:c>
      <x:c r="D14" s="34" t="str">
        <x:v>Supabase Evidence</x:v>
      </x:c>
      <x:c r="E14" s="34" t="str">
        <x:v>project-docs/phase-3/evidence/live-checks-2026-10-20.md</x:v>
      </x:c>
      <x:c r="F14" s="34" t="str">
        <x:v>NFR-04, FR-17</x:v>
      </x:c>
      <x:c r="G14" s="34" t="str">
        <x:v>Wisani Nkuna</x:v>
      </x:c>
      <x:c r="H14" s="34" t="str">
        <x:v>Anonymous reads return nothing; staff functions refuse anonymous callers (0008 live); created_by column not there yet (0010 not run).</x:v>
      </x:c>
    </x:row>
    <x:row r="15">
      <x:c r="A15" s="34" t="str"/>
      <x:c r="B15" s="34" t="str"/>
      <x:c r="C15" s="34" t="str"/>
      <x:c r="D15" s="34" t="str"/>
      <x:c r="E15" s="34" t="str"/>
      <x:c r="F15" s="34" t="str"/>
      <x:c r="G15" s="34" t="str"/>
      <x:c r="H15" s="34" t="str"/>
    </x:row>
    <x:row r="16">
      <x:c r="A16" s="34" t="str"/>
      <x:c r="B16" s="34" t="str"/>
      <x:c r="C16" s="34" t="str"/>
      <x:c r="D16" s="34" t="str"/>
      <x:c r="E16" s="34" t="str"/>
      <x:c r="F16" s="34" t="str"/>
      <x:c r="G16" s="34" t="str"/>
      <x:c r="H16" s="34" t="str"/>
    </x:row>
    <x:row r="17">
      <x:c r="A17" s="34" t="str"/>
      <x:c r="B17" s="34" t="str"/>
      <x:c r="C17" s="34" t="str"/>
      <x:c r="D17" s="34" t="str"/>
      <x:c r="E17" s="34" t="str"/>
      <x:c r="F17" s="34" t="str"/>
      <x:c r="G17" s="34" t="str"/>
      <x:c r="H17" s="34" t="str"/>
    </x:row>
    <x:row r="18">
      <x:c r="A18" s="34" t="str"/>
      <x:c r="B18" s="34" t="str"/>
      <x:c r="C18" s="34" t="str"/>
      <x:c r="D18" s="34" t="str"/>
      <x:c r="E18" s="34" t="str"/>
      <x:c r="F18" s="34" t="str"/>
      <x:c r="G18" s="34" t="str"/>
      <x:c r="H18" s="34" t="str"/>
    </x:row>
    <x:row r="19">
      <x:c r="A19" s="34" t="str"/>
      <x:c r="B19" s="34" t="str"/>
      <x:c r="C19" s="34" t="str"/>
      <x:c r="D19" s="34" t="str"/>
      <x:c r="E19" s="34" t="str"/>
      <x:c r="F19" s="34" t="str"/>
      <x:c r="G19" s="34" t="str"/>
      <x:c r="H19" s="34" t="str"/>
    </x:row>
    <x:row r="20">
      <x:c r="A20" s="34" t="str"/>
      <x:c r="B20" s="34" t="str"/>
      <x:c r="C20" s="34" t="str"/>
      <x:c r="D20" s="34" t="str"/>
      <x:c r="E20" s="34" t="str"/>
      <x:c r="F20" s="34" t="str"/>
      <x:c r="G20" s="34" t="str"/>
      <x:c r="H20" s="34" t="str"/>
    </x:row>
    <x:row r="21">
      <x:c r="A21" s="34" t="str"/>
      <x:c r="B21" s="34" t="str"/>
      <x:c r="C21" s="34" t="str"/>
      <x:c r="D21" s="34" t="str"/>
      <x:c r="E21" s="34" t="str"/>
      <x:c r="F21" s="34" t="str"/>
      <x:c r="G21" s="34" t="str"/>
      <x:c r="H21" s="34" t="str"/>
    </x:row>
    <x:row r="22">
      <x:c r="A22" s="34" t="str"/>
      <x:c r="B22" s="34" t="str"/>
      <x:c r="C22" s="34" t="str"/>
      <x:c r="D22" s="34" t="str"/>
      <x:c r="E22" s="34" t="str"/>
      <x:c r="F22" s="34" t="str"/>
      <x:c r="G22" s="34" t="str"/>
      <x:c r="H22" s="34" t="str"/>
    </x:row>
    <x:row r="23">
      <x:c r="A23" s="34" t="str"/>
      <x:c r="B23" s="34" t="str"/>
      <x:c r="C23" s="34" t="str"/>
      <x:c r="D23" s="34" t="str"/>
      <x:c r="E23" s="34" t="str"/>
      <x:c r="F23" s="34" t="str"/>
      <x:c r="G23" s="34" t="str"/>
      <x:c r="H23" s="34" t="str"/>
    </x:row>
    <x:row r="24">
      <x:c r="A24" s="34" t="str"/>
      <x:c r="B24" s="34" t="str"/>
      <x:c r="C24" s="34" t="str"/>
      <x:c r="D24" s="34" t="str"/>
      <x:c r="E24" s="34" t="str"/>
      <x:c r="F24" s="34" t="str"/>
      <x:c r="G24" s="34" t="str"/>
      <x:c r="H24" s="34" t="str"/>
    </x:row>
    <x:row r="25">
      <x:c r="A25" s="34" t="str"/>
      <x:c r="B25" s="34" t="str"/>
      <x:c r="C25" s="34" t="str"/>
      <x:c r="D25" s="34" t="str"/>
      <x:c r="E25" s="34" t="str"/>
      <x:c r="F25" s="34" t="str"/>
      <x:c r="G25" s="34" t="str"/>
      <x:c r="H25" s="34" t="str"/>
    </x:row>
    <x:row r="26">
      <x:c r="A26" s="34" t="str"/>
      <x:c r="B26" s="34" t="str"/>
      <x:c r="C26" s="34" t="str"/>
      <x:c r="D26" s="34" t="str"/>
      <x:c r="E26" s="34" t="str"/>
      <x:c r="F26" s="34" t="str"/>
      <x:c r="G26" s="34" t="str"/>
      <x:c r="H26" s="34" t="str"/>
    </x:row>
    <x:row r="27">
      <x:c r="A27" s="34" t="str"/>
      <x:c r="B27" s="34" t="str"/>
      <x:c r="C27" s="34" t="str"/>
      <x:c r="D27" s="34" t="str"/>
      <x:c r="E27" s="34" t="str"/>
      <x:c r="F27" s="34" t="str"/>
      <x:c r="G27" s="34" t="str"/>
      <x:c r="H27" s="34" t="str"/>
    </x:row>
    <x:row r="28">
      <x:c r="A28" s="34" t="str"/>
      <x:c r="B28" s="34" t="str"/>
      <x:c r="C28" s="34" t="str"/>
      <x:c r="D28" s="34" t="str"/>
      <x:c r="E28" s="34" t="str"/>
      <x:c r="F28" s="34" t="str"/>
      <x:c r="G28" s="34" t="str"/>
      <x:c r="H28" s="34" t="str"/>
    </x:row>
    <x:row r="29">
      <x:c r="A29" s="34" t="str"/>
      <x:c r="B29" s="34" t="str"/>
      <x:c r="C29" s="34" t="str"/>
      <x:c r="D29" s="34" t="str"/>
      <x:c r="E29" s="34" t="str"/>
      <x:c r="F29" s="34" t="str"/>
      <x:c r="G29" s="34" t="str"/>
      <x:c r="H29" s="34" t="str"/>
    </x:row>
    <x:row r="30">
      <x:c r="A30" s="34" t="str"/>
      <x:c r="B30" s="34" t="str"/>
      <x:c r="C30" s="34" t="str"/>
      <x:c r="D30" s="34" t="str"/>
      <x:c r="E30" s="34" t="str"/>
      <x:c r="F30" s="34" t="str"/>
      <x:c r="G30" s="34" t="str"/>
      <x:c r="H30" s="34" t="str"/>
    </x:row>
    <x:row r="31">
      <x:c r="A31" s="34" t="str"/>
      <x:c r="B31" s="34" t="str"/>
      <x:c r="C31" s="34" t="str"/>
      <x:c r="D31" s="34" t="str"/>
      <x:c r="E31" s="34" t="str"/>
      <x:c r="F31" s="34" t="str"/>
      <x:c r="G31" s="34" t="str"/>
      <x:c r="H31" s="34" t="str"/>
    </x:row>
    <x:row r="32">
      <x:c r="A32" s="34" t="str"/>
      <x:c r="B32" s="34" t="str"/>
      <x:c r="C32" s="34" t="str"/>
      <x:c r="D32" s="34" t="str"/>
      <x:c r="E32" s="34" t="str"/>
      <x:c r="F32" s="34" t="str"/>
      <x:c r="G32" s="34" t="str"/>
      <x:c r="H32" s="34" t="str"/>
    </x:row>
    <x:row r="33">
      <x:c r="A33" s="34" t="str"/>
      <x:c r="B33" s="34" t="str"/>
      <x:c r="C33" s="34" t="str"/>
      <x:c r="D33" s="34" t="str"/>
      <x:c r="E33" s="34" t="str"/>
      <x:c r="F33" s="34" t="str"/>
      <x:c r="G33" s="34" t="str"/>
      <x:c r="H33" s="34" t="str"/>
    </x:row>
  </x:sheetData>
  <x:mergeCells>
    <x:mergeCell ref="A1:H1"/>
  </x:mergeCells>
  <x:dataValidations count="2">
    <x:dataValidation type="list" sqref="B4:B33">
      <x:formula1>"Supabase Backend,Flutter,ASP.NET,Integration,SRS,Microsoft Project,GitHub,Final Demonstration,Other"</x:formula1>
    </x:dataValidation>
    <x:dataValidation type="list" sqref="D4:D33">
      <x:formula1>"Screenshot,Short Recording,GitHub Commit/PR,SRS Section,Supabase Evidence,Other"</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5" hidden="0" customWidth="1"/>
    <x:col min="2" max="2" width="34" hidden="0" customWidth="1"/>
    <x:col min="3" max="3" width="34" hidden="0" customWidth="1"/>
    <x:col min="4" max="4" width="40" hidden="0" customWidth="1"/>
    <x:col min="5" max="5" width="24" hidden="0" customWidth="1"/>
    <x:col min="6" max="6" width="15" hidden="0" customWidth="1"/>
    <x:col min="7" max="7" width="15" hidden="0" customWidth="1"/>
    <x:col min="8" max="8" width="15" hidden="0" customWidth="1"/>
    <x:col min="9" max="9" width="34" hidden="0" customWidth="1"/>
  </x:cols>
  <x:sheetData>
    <x:row r="1" ht="34" customHeight="1">
      <x:c r="A1" s="5" t="str">
        <x:v>Phase 3 Challenges and Corrective Actions</x:v>
      </x:c>
      <x:c r="B1" s="5"/>
      <x:c r="C1" s="5"/>
      <x:c r="D1" s="5"/>
      <x:c r="E1" s="5"/>
      <x:c r="F1" s="5"/>
      <x:c r="G1" s="5"/>
      <x:c r="H1" s="5"/>
      <x:c r="I1" s="5"/>
    </x:row>
    <x:row r="3" ht="30" customHeight="1">
      <x:c r="A3" s="17" t="str">
        <x:v>Date Identified</x:v>
      </x:c>
      <x:c r="B3" s="17" t="str">
        <x:v>Development / Integration Challenge</x:v>
      </x:c>
      <x:c r="C3" s="17" t="str">
        <x:v>Effect on Progress or Function</x:v>
      </x:c>
      <x:c r="D3" s="17" t="str">
        <x:v>Action Taken / Required</x:v>
      </x:c>
      <x:c r="E3" s="17" t="str">
        <x:v>Responsible Student</x:v>
      </x:c>
      <x:c r="F3" s="17" t="str">
        <x:v>Target Date</x:v>
      </x:c>
      <x:c r="G3" s="17" t="str">
        <x:v>Status</x:v>
      </x:c>
      <x:c r="H3" s="17" t="str">
        <x:v>Resolved Date</x:v>
      </x:c>
      <x:c r="I3" s="17" t="str">
        <x:v>Notes / Known Limitation</x:v>
      </x:c>
    </x:row>
    <x:row r="4">
      <x:c r="A4" s="34" t="str">
        <x:v>2026-10-08</x:v>
      </x:c>
      <x:c r="B4" s="34" t="str">
        <x:v>Web "Add part" fails (error 42804): old text version of add_booking_part still in the database</x:v>
      </x:c>
      <x:c r="C4" s="34" t="str">
        <x:v>Web cannot use the database function for parts</x:v>
      </x:c>
      <x:c r="D4" s="34" t="str">
        <x:v>Run migrations 0009 then 0004; web uses a temporary workaround meanwhile</x:v>
      </x:c>
      <x:c r="E4" s="34" t="str">
        <x:v>Gary van Wyk</x:v>
      </x:c>
      <x:c r="F4" s="34" t="str">
        <x:v>2026-10-21</x:v>
      </x:c>
      <x:c r="G4" s="34" t="str">
        <x:v>In Progress</x:v>
      </x:c>
      <x:c r="H4" s="34" t="str"/>
      <x:c r="I4" s="34" t="str"/>
    </x:row>
    <x:row r="5">
      <x:c r="A5" s="34" t="str">
        <x:v>2026-10-07</x:v>
      </x:c>
      <x:c r="B5" s="34" t="str">
        <x:v>update_booking_phase runs without a login</x:v>
      </x:c>
      <x:c r="C5" s="34" t="str">
        <x:v>Anyone with a booking id could change its phase and see customer details</x:v>
      </x:c>
      <x:c r="D5" s="34" t="str">
        <x:v>Run migration 0008 (staff functions signed-in only)</x:v>
      </x:c>
      <x:c r="E5" s="34" t="str">
        <x:v>Gary van Wyk</x:v>
      </x:c>
      <x:c r="F5" s="34" t="str">
        <x:v>2026-10-21</x:v>
      </x:c>
      <x:c r="G5" s="34" t="str">
        <x:v>Completed</x:v>
      </x:c>
      <x:c r="H5" s="34" t="str">
        <x:v>2026-10-20</x:v>
      </x:c>
      <x:c r="I5" s="34" t="str">
        <x:v>Confirmed live 20 Oct: anonymous call refused (permission denied). Migration 0008 is applied.</x:v>
      </x:c>
    </x:row>
    <x:row r="6">
      <x:c r="A6" s="34" t="str">
        <x:v>2026-09-17</x:v>
      </x:c>
      <x:c r="B6" s="34" t="str">
        <x:v>Two labour tables: Flutter writes booking_labor, web writes jobs</x:v>
      </x:c>
      <x:c r="C6" s="34" t="str">
        <x:v>Web and mobile invoices can show different labour totals</x:v>
      </x:c>
      <x:c r="D6" s="34" t="str">
        <x:v>Decide one ledger at the 20 Oct meeting; move the other app over</x:v>
      </x:c>
      <x:c r="E6" s="34" t="str">
        <x:v>Wisani Nkuna; Gary van Wyk</x:v>
      </x:c>
      <x:c r="F6" s="34" t="str">
        <x:v>2026-10-25</x:v>
      </x:c>
      <x:c r="G6" s="34" t="str">
        <x:v>Not Started</x:v>
      </x:c>
      <x:c r="H6" s="34" t="str"/>
      <x:c r="I6" s="34" t="str">
        <x:v>Proposal: keep booking_labor.</x:v>
      </x:c>
    </x:row>
    <x:row r="7">
      <x:c r="A7" s="34" t="str">
        <x:v>2026-10-18</x:v>
      </x:c>
      <x:c r="B7" s="34" t="str">
        <x:v>Admin role read from two places (web email list, Flutter profiles.role)</x:v>
      </x:c>
      <x:c r="C7" s="34" t="str">
        <x:v>A person could be admin in one app and not the other</x:v>
      </x:c>
      <x:c r="D7" s="34" t="str">
        <x:v>Web reads profiles.role</x:v>
      </x:c>
      <x:c r="E7" s="34" t="str">
        <x:v>Wisani Nkuna</x:v>
      </x:c>
      <x:c r="F7" s="34" t="str">
        <x:v>2026-10-25</x:v>
      </x:c>
      <x:c r="G7" s="34" t="str">
        <x:v>Not Started</x:v>
      </x:c>
      <x:c r="H7" s="34" t="str"/>
      <x:c r="I7" s="34" t="str"/>
    </x:row>
    <x:row r="8">
      <x:c r="A8" s="34" t="str">
        <x:v>2026-10-18</x:v>
      </x:c>
      <x:c r="B8" s="34" t="str">
        <x:v>Finalize and reopen were blocked only by hidden buttons</x:v>
      </x:c>
      <x:c r="C8" s="34" t="str">
        <x:v>Access rule not enforced by the database</x:v>
      </x:c>
      <x:c r="D8" s="34" t="str">
        <x:v>Migration 0011 written and tested; Gary to run it</x:v>
      </x:c>
      <x:c r="E8" s="34" t="str">
        <x:v>Wisani Nkuna; Gary van Wyk</x:v>
      </x:c>
      <x:c r="F8" s="34" t="str">
        <x:v>2026-10-21</x:v>
      </x:c>
      <x:c r="G8" s="34" t="str">
        <x:v>In Progress</x:v>
      </x:c>
      <x:c r="H8" s="34" t="str"/>
      <x:c r="I8" s="34" t="str"/>
    </x:row>
    <x:row r="9">
      <x:c r="A9" s="34" t="str">
        <x:v>2026-09-25</x:v>
      </x:c>
      <x:c r="B9" s="34" t="str">
        <x:v>Flutter adds a part with three separate calls</x:v>
      </x:c>
      <x:c r="C9" s="34" t="str">
        <x:v>If one call fails, stock can be wrong</x:v>
      </x:c>
      <x:c r="D9" s="34" t="str">
        <x:v>Switch Flutter to add_booking_part</x:v>
      </x:c>
      <x:c r="E9" s="34" t="str">
        <x:v>Gary van Wyk</x:v>
      </x:c>
      <x:c r="F9" s="34" t="str">
        <x:v>2026-10-25</x:v>
      </x:c>
      <x:c r="G9" s="34" t="str">
        <x:v>Not Started</x:v>
      </x:c>
      <x:c r="H9" s="34" t="str"/>
      <x:c r="I9" s="34" t="str"/>
    </x:row>
    <x:row r="10">
      <x:c r="A10" s="34" t="str">
        <x:v>2026-10-17</x:v>
      </x:c>
      <x:c r="B10" s="34" t="str">
        <x:v>Push notification setup throws in the Flutter web build</x:v>
      </x:c>
      <x:c r="C10" s="34" t="str">
        <x:v>Customer lookup fails on the web version</x:v>
      </x:c>
      <x:c r="D10" s="34" t="str">
        <x:v>Add a kIsWeb check before push setup</x:v>
      </x:c>
      <x:c r="E10" s="34" t="str">
        <x:v>Gary van Wyk</x:v>
      </x:c>
      <x:c r="F10" s="34" t="str">
        <x:v>2026-10-24</x:v>
      </x:c>
      <x:c r="G10" s="34" t="str">
        <x:v>Not Started</x:v>
      </x:c>
      <x:c r="H10" s="34" t="str"/>
      <x:c r="I10" s="34" t="str">
        <x:v>Push stays Android only.</x:v>
      </x:c>
    </x:row>
    <x:row r="11">
      <x:c r="A11" s="34" t="str">
        <x:v>2026-09-29</x:v>
      </x:c>
      <x:c r="B11" s="34" t="str">
        <x:v>Firebase service-account key was committed to GitHub</x:v>
      </x:c>
      <x:c r="C11" s="34" t="str">
        <x:v>Key could be misused</x:v>
      </x:c>
      <x:c r="D11" s="34" t="str">
        <x:v>Revoke the key in Google Cloud</x:v>
      </x:c>
      <x:c r="E11" s="34" t="str">
        <x:v>Gary van Wyk</x:v>
      </x:c>
      <x:c r="F11" s="34" t="str">
        <x:v>2026-10-19</x:v>
      </x:c>
      <x:c r="G11" s="34" t="str">
        <x:v>Not Started</x:v>
      </x:c>
      <x:c r="H11" s="34" t="str"/>
      <x:c r="I11" s="34" t="str">
        <x:v>File removed from the repo 28 Sept; key still valid until revoked.</x:v>
      </x:c>
    </x:row>
    <x:row r="12">
      <x:c r="A12" s="34" t="str">
        <x:v>2026-09-17</x:v>
      </x:c>
      <x:c r="B12" s="34" t="str">
        <x:v>Flutter does not live-update (no Realtime subscriptions)</x:v>
      </x:c>
      <x:c r="C12" s="34" t="str">
        <x:v>Flutter needs a refresh to see web changes</x:v>
      </x:c>
      <x:c r="D12" s="34" t="str">
        <x:v>Accepted: the Unit 4 notes allow a refresh unless real-time is a requirement</x:v>
      </x:c>
      <x:c r="E12" s="34" t="str">
        <x:v>-</x:v>
      </x:c>
      <x:c r="F12" s="34" t="str">
        <x:v>2026-10-18</x:v>
      </x:c>
      <x:c r="G12" s="34" t="str">
        <x:v>Completed</x:v>
      </x:c>
      <x:c r="H12" s="34" t="str">
        <x:v>2026-10-18</x:v>
      </x:c>
      <x:c r="I12" s="34" t="str">
        <x:v>Known limitation; the web dashboard does live-reload.</x:v>
      </x:c>
    </x:row>
    <x:row r="13">
      <x:c r="A13" s="34" t="str">
        <x:v>2026-10-14</x:v>
      </x:c>
      <x:c r="B13" s="34" t="str">
        <x:v>No mobile changes on GitHub main since 28 Sept</x:v>
      </x:c>
      <x:c r="C13" s="34" t="str">
        <x:v>Mobile fixes and the WhatsApp button are not in the repo yet</x:v>
      </x:c>
      <x:c r="D13" s="34" t="str">
        <x:v>Handoff PDF with exact steps; check-in at the 20 Oct meeting</x:v>
      </x:c>
      <x:c r="E13" s="34" t="str">
        <x:v>Gary van Wyk</x:v>
      </x:c>
      <x:c r="F13" s="34" t="str">
        <x:v>2026-10-24</x:v>
      </x:c>
      <x:c r="G13" s="34" t="str">
        <x:v>In Progress</x:v>
      </x:c>
      <x:c r="H13" s="34" t="str"/>
      <x:c r="I13" s="34" t="str"/>
    </x:row>
    <x:row r="14">
      <x:c r="A14" s="34" t="str">
        <x:v>2026-10-16</x:v>
      </x:c>
      <x:c r="B14" s="34" t="str">
        <x:v>Latest changes could not be pushed to GitHub directly</x:v>
      </x:c>
      <x:c r="C14" s="34" t="str">
        <x:v>Repository behind the working version</x:v>
      </x:c>
      <x:c r="D14" s="34" t="str">
        <x:v>Uploaded folder by folder through GitHub web</x:v>
      </x:c>
      <x:c r="E14" s="34" t="str">
        <x:v>Wisani Nkuna</x:v>
      </x:c>
      <x:c r="F14" s="34" t="str">
        <x:v>2026-10-20</x:v>
      </x:c>
      <x:c r="G14" s="34" t="str">
        <x:v>In Progress</x:v>
      </x:c>
      <x:c r="H14" s="34" t="str"/>
      <x:c r="I14" s="34" t="str"/>
    </x:row>
    <x:row r="15">
      <x:c r="A15" s="34" t="str">
        <x:v>2026-10-19</x:v>
      </x:c>
      <x:c r="B15" s="34" t="str">
        <x:v>Phase 2 files were uploaded to the Assessment 3 slot on eThuto (0 attempts left)</x:v>
      </x:c>
      <x:c r="C15" s="34" t="str">
        <x:v>Group cannot upload Phase 3 until the attempt is reset</x:v>
      </x:c>
      <x:c r="D15" s="34" t="str">
        <x:v>Email Ms Mbele: move the files to Assessment 2 and reset the Assessment 3 attempt</x:v>
      </x:c>
      <x:c r="E15" s="34" t="str">
        <x:v>Wisani Nkuna</x:v>
      </x:c>
      <x:c r="F15" s="34" t="str">
        <x:v>2026-10-23</x:v>
      </x:c>
      <x:c r="G15" s="34" t="str">
        <x:v>In Progress</x:v>
      </x:c>
      <x:c r="H15" s="34" t="str"/>
      <x:c r="I15" s="34" t="str"/>
    </x:row>
    <x:row r="16">
      <x:c r="A16" s="34" t="str">
        <x:v>2026-10-17</x:v>
      </x:c>
      <x:c r="B16" s="34" t="str">
        <x:v>Vercel container hosting is a beta and sleeps after 5 idle minutes</x:v>
      </x:c>
      <x:c r="C16" s="34" t="str">
        <x:v>First page after a quiet spell is slow; staff may need to log in again</x:v>
      </x:c>
      <x:c r="D16" s="34" t="str">
        <x:v>Open the site 2 minutes before the demo; laptop version as back-up</x:v>
      </x:c>
      <x:c r="E16" s="34" t="str">
        <x:v>Wisani Nkuna</x:v>
      </x:c>
      <x:c r="F16" s="34" t="str">
        <x:v>2026-10-31</x:v>
      </x:c>
      <x:c r="G16" s="34" t="str">
        <x:v>In Progress</x:v>
      </x:c>
      <x:c r="H16" s="34" t="str"/>
      <x:c r="I16" s="34" t="str">
        <x:v>Known limitation.</x:v>
      </x:c>
    </x:row>
    <x:row r="17">
      <x:c r="A17" s="34" t="str">
        <x:v>2026-10-20</x:v>
      </x:c>
      <x:c r="B17" s="34" t="str">
        <x:v>Flutter keeps bookings and parts in memory until the app restarts (no refresh)</x:v>
      </x:c>
      <x:c r="C17" s="34" t="str">
        <x:v>Changes made on the web never appear on the phone; shared process P1 fails in the demo</x:v>
      </x:c>
      <x:c r="D17" s="34" t="str">
        <x:v>Add RefreshIndicator + ref.invalidate on the bookings list and booking details</x:v>
      </x:c>
      <x:c r="E17" s="34" t="str">
        <x:v>Gary van Wyk</x:v>
      </x:c>
      <x:c r="F17" s="34" t="str">
        <x:v>2026-10-24</x:v>
      </x:c>
      <x:c r="G17" s="34" t="str">
        <x:v>Not Started</x:v>
      </x:c>
      <x:c r="H17" s="34" t="str"/>
      <x:c r="I17" s="34" t="str">
        <x:v>Found while preparing the code guide.</x:v>
      </x:c>
    </x:row>
    <x:row r="18">
      <x:c r="A18" s="34" t="str">
        <x:v>2026-10-20</x:v>
      </x:c>
      <x:c r="B18" s="34" t="str">
        <x:v>Wrong password showed staff a raw technical error ({"code":400,"error_code":"invalid_credentials"...})</x:v>
      </x:c>
      <x:c r="C18" s="34" t="str">
        <x:v>Confusing for staff (NFR-01)</x:v>
      </x:c>
      <x:c r="D18" s="34" t="str">
        <x:v>Login page now shows "Incorrect email or password."</x:v>
      </x:c>
      <x:c r="E18" s="34" t="str">
        <x:v>Wisani Nkuna</x:v>
      </x:c>
      <x:c r="F18" s="34" t="str">
        <x:v>2026-10-20</x:v>
      </x:c>
      <x:c r="G18" s="34" t="str">
        <x:v>Completed</x:v>
      </x:c>
      <x:c r="H18" s="34" t="str">
        <x:v>2026-10-20</x:v>
      </x:c>
      <x:c r="I18" s="34" t="str">
        <x:v>Found while checking the web app against the live project.</x:v>
      </x:c>
    </x:row>
    <x:row r="19">
      <x:c r="A19" s="34" t="str">
        <x:v>2026-10-20</x:v>
      </x:c>
      <x:c r="B19" s="34" t="str">
        <x:v>Login failed with HTTP 400 on Vercel</x:v>
      </x:c>
      <x:c r="C19" s="34" t="str">
        <x:v>Staff could not log in reliably; would also cause random logouts</x:v>
      </x:c>
      <x:c r="D19" s="34" t="str">
        <x:v>Every container now uses the same encryption key from the DataProtection__Secret setting (web/Auth/FixedKeyRepository.cs)</x:v>
      </x:c>
      <x:c r="E19" s="34" t="str">
        <x:v>Wisani Nkuna</x:v>
      </x:c>
      <x:c r="F19" s="34" t="str">
        <x:v>2026-10-20</x:v>
      </x:c>
      <x:c r="G19" s="34" t="str">
        <x:v>Completed</x:v>
      </x:c>
      <x:c r="H19" s="34" t="str">
        <x:v>2026-10-20</x:v>
      </x:c>
      <x:c r="I19" s="34" t="str">
        <x:v>Reproduced and fixed locally, then confirmed on the live site.</x:v>
      </x:c>
    </x:row>
    <x:row r="20">
      <x:c r="A20" s="34" t="str"/>
      <x:c r="B20" s="34" t="str"/>
      <x:c r="C20" s="34" t="str"/>
      <x:c r="D20" s="34" t="str"/>
      <x:c r="E20" s="34" t="str"/>
      <x:c r="F20" s="34" t="str"/>
      <x:c r="G20" s="34" t="str">
        <x:v>Not Started</x:v>
      </x:c>
      <x:c r="H20" s="34" t="str"/>
      <x:c r="I20" s="34" t="str"/>
    </x:row>
    <x:row r="21">
      <x:c r="A21" s="34" t="str"/>
      <x:c r="B21" s="34" t="str"/>
      <x:c r="C21" s="34" t="str"/>
      <x:c r="D21" s="34" t="str"/>
      <x:c r="E21" s="34" t="str"/>
      <x:c r="F21" s="34" t="str"/>
      <x:c r="G21" s="34" t="str">
        <x:v>Not Started</x:v>
      </x:c>
      <x:c r="H21" s="34" t="str"/>
      <x:c r="I21" s="34" t="str"/>
    </x:row>
    <x:row r="22">
      <x:c r="A22" s="34" t="str"/>
      <x:c r="B22" s="34" t="str"/>
      <x:c r="C22" s="34" t="str"/>
      <x:c r="D22" s="34" t="str"/>
      <x:c r="E22" s="34" t="str"/>
      <x:c r="F22" s="34" t="str"/>
      <x:c r="G22" s="34" t="str">
        <x:v>Not Started</x:v>
      </x:c>
      <x:c r="H22" s="34" t="str"/>
      <x:c r="I22" s="34" t="str"/>
    </x:row>
    <x:row r="23">
      <x:c r="A23" s="34" t="str"/>
      <x:c r="B23" s="34" t="str"/>
      <x:c r="C23" s="34" t="str"/>
      <x:c r="D23" s="34" t="str"/>
      <x:c r="E23" s="34" t="str"/>
      <x:c r="F23" s="34" t="str"/>
      <x:c r="G23" s="34" t="str">
        <x:v>Not Started</x:v>
      </x:c>
      <x:c r="H23" s="34" t="str"/>
      <x:c r="I23" s="34" t="str"/>
    </x:row>
    <x:row r="24">
      <x:c r="A24" s="34" t="str"/>
      <x:c r="B24" s="34" t="str"/>
      <x:c r="C24" s="34" t="str"/>
      <x:c r="D24" s="34" t="str"/>
      <x:c r="E24" s="34" t="str"/>
      <x:c r="F24" s="34" t="str"/>
      <x:c r="G24" s="34" t="str">
        <x:v>Not Started</x:v>
      </x:c>
      <x:c r="H24" s="34" t="str"/>
      <x:c r="I24" s="34" t="str"/>
    </x:row>
    <x:row r="25">
      <x:c r="A25" s="34" t="str"/>
      <x:c r="B25" s="34" t="str"/>
      <x:c r="C25" s="34" t="str"/>
      <x:c r="D25" s="34" t="str"/>
      <x:c r="E25" s="34" t="str"/>
      <x:c r="F25" s="34" t="str"/>
      <x:c r="G25" s="34" t="str">
        <x:v>Not Started</x:v>
      </x:c>
      <x:c r="H25" s="34" t="str"/>
      <x:c r="I25" s="34" t="str"/>
    </x:row>
    <x:row r="26">
      <x:c r="A26" s="34" t="str"/>
      <x:c r="B26" s="34" t="str"/>
      <x:c r="C26" s="34" t="str"/>
      <x:c r="D26" s="34" t="str"/>
      <x:c r="E26" s="34" t="str"/>
      <x:c r="F26" s="34" t="str"/>
      <x:c r="G26" s="34" t="str">
        <x:v>Not Started</x:v>
      </x:c>
      <x:c r="H26" s="34" t="str"/>
      <x:c r="I26" s="34" t="str"/>
    </x:row>
    <x:row r="27">
      <x:c r="A27" s="34" t="str"/>
      <x:c r="B27" s="34" t="str"/>
      <x:c r="C27" s="34" t="str"/>
      <x:c r="D27" s="34" t="str"/>
      <x:c r="E27" s="34" t="str"/>
      <x:c r="F27" s="34" t="str"/>
      <x:c r="G27" s="34" t="str">
        <x:v>Not Started</x:v>
      </x:c>
      <x:c r="H27" s="34" t="str"/>
      <x:c r="I27" s="34" t="str"/>
    </x:row>
    <x:row r="28">
      <x:c r="A28" s="34" t="str"/>
      <x:c r="B28" s="34" t="str"/>
      <x:c r="C28" s="34" t="str"/>
      <x:c r="D28" s="34" t="str"/>
      <x:c r="E28" s="34" t="str"/>
      <x:c r="F28" s="34" t="str"/>
      <x:c r="G28" s="34" t="str">
        <x:v>Not Started</x:v>
      </x:c>
      <x:c r="H28" s="34" t="str"/>
      <x:c r="I28" s="34" t="str"/>
    </x:row>
    <x:row r="29">
      <x:c r="A29" s="34" t="str"/>
      <x:c r="B29" s="34" t="str"/>
      <x:c r="C29" s="34" t="str"/>
      <x:c r="D29" s="34" t="str"/>
      <x:c r="E29" s="34" t="str"/>
      <x:c r="F29" s="34" t="str"/>
      <x:c r="G29" s="34" t="str">
        <x:v>Not Started</x:v>
      </x:c>
      <x:c r="H29" s="34" t="str"/>
      <x:c r="I29" s="34" t="str"/>
    </x:row>
    <x:row r="30">
      <x:c r="A30" s="34" t="str"/>
      <x:c r="B30" s="34" t="str"/>
      <x:c r="C30" s="34" t="str"/>
      <x:c r="D30" s="34" t="str"/>
      <x:c r="E30" s="34" t="str"/>
      <x:c r="F30" s="34" t="str"/>
      <x:c r="G30" s="34" t="str">
        <x:v>Not Started</x:v>
      </x:c>
      <x:c r="H30" s="34" t="str"/>
      <x:c r="I30" s="34" t="str"/>
    </x:row>
    <x:row r="31">
      <x:c r="A31" s="34" t="str"/>
      <x:c r="B31" s="34" t="str"/>
      <x:c r="C31" s="34" t="str"/>
      <x:c r="D31" s="34" t="str"/>
      <x:c r="E31" s="34" t="str"/>
      <x:c r="F31" s="34" t="str"/>
      <x:c r="G31" s="34" t="str">
        <x:v>Not Started</x:v>
      </x:c>
      <x:c r="H31" s="34" t="str"/>
      <x:c r="I31" s="34" t="str"/>
    </x:row>
    <x:row r="32">
      <x:c r="A32" s="34" t="str"/>
      <x:c r="B32" s="34" t="str"/>
      <x:c r="C32" s="34" t="str"/>
      <x:c r="D32" s="34" t="str"/>
      <x:c r="E32" s="34" t="str"/>
      <x:c r="F32" s="34" t="str"/>
      <x:c r="G32" s="34" t="str">
        <x:v>Not Started</x:v>
      </x:c>
      <x:c r="H32" s="34" t="str"/>
      <x:c r="I32" s="34" t="str"/>
    </x:row>
    <x:row r="33">
      <x:c r="A33" s="34" t="str"/>
      <x:c r="B33" s="34" t="str"/>
      <x:c r="C33" s="34" t="str"/>
      <x:c r="D33" s="34" t="str"/>
      <x:c r="E33" s="34" t="str"/>
      <x:c r="F33" s="34" t="str"/>
      <x:c r="G33" s="34" t="str">
        <x:v>Not Started</x:v>
      </x:c>
      <x:c r="H33" s="34" t="str"/>
      <x:c r="I33" s="34" t="str"/>
    </x:row>
  </x:sheetData>
  <x:mergeCells>
    <x:mergeCell ref="A1:I1"/>
  </x:mergeCells>
  <x:conditionalFormatting sqref="G4:G33">
    <x:cfRule type="expression" dxfId="5" priority="1">
      <x:formula>G4="Completed"</x:formula>
    </x:cfRule>
    <x:cfRule type="expression" dxfId="6" priority="2">
      <x:formula>G4="Blocked"</x:formula>
    </x:cfRule>
  </x:conditionalFormatting>
  <x:dataValidations count="1">
    <x:dataValidation type="list" sqref="G4:G33">
      <x:formula1>"Not Started,In Progress,Completed,Blocked"</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38" hidden="0" customWidth="1"/>
    <x:col min="2" max="2" width="34" hidden="0" customWidth="1"/>
    <x:col min="3" max="3" width="34" hidden="0" customWidth="1"/>
    <x:col min="4" max="4" width="4" hidden="0" customWidth="1"/>
    <x:col min="5" max="5" width="40" hidden="0" customWidth="1"/>
    <x:col min="6" max="6" width="14" hidden="0" customWidth="1"/>
  </x:cols>
  <x:sheetData>
    <x:row r="1" ht="34" customHeight="1">
      <x:c r="A1" s="5" t="str">
        <x:v>Phase 3 Progress Summary</x:v>
      </x:c>
      <x:c r="B1" s="5"/>
      <x:c r="C1" s="5"/>
      <x:c r="D1" s="5"/>
      <x:c r="E1" s="5"/>
      <x:c r="F1" s="5"/>
    </x:row>
    <x:row r="3" ht="30" customHeight="1">
      <x:c r="A3" s="28" t="str">
        <x:v>Reporting Period</x:v>
      </x:c>
      <x:c r="B3" s="34" t="str">
        <x:v>15 Oct - 2 Nov 2026 (updated 20 Oct)</x:v>
      </x:c>
      <x:c r="C3" s="34"/>
      <x:c r="E3" s="17" t="str">
        <x:v>Phase 3 Completion Checklist</x:v>
      </x:c>
      <x:c r="F3" s="17" t="str">
        <x:v>Complete?</x:v>
      </x:c>
    </x:row>
    <x:row r="4">
      <x:c r="A4" s="28" t="str">
        <x:v>Overall Phase Status</x:v>
      </x:c>
      <x:c r="B4" s="34" t="str">
        <x:v>In Progress</x:v>
      </x:c>
      <x:c r="C4" s="34"/>
      <x:c r="E4" t="str">
        <x:v>Shared Supabase backend implemented</x:v>
      </x:c>
      <x:c r="F4" s="34" t="str">
        <x:v>No</x:v>
      </x:c>
    </x:row>
    <x:row r="5">
      <x:c r="A5" s="28" t="str">
        <x:v>What was completed during Phase 3?</x:v>
      </x:c>
      <x:c r="B5" s="34" t="str">
        <x:v>Both apps already run on one shared Supabase project with the main functions built (Phases 1-2). Since 15 Oct: Send on WhatsApp in the web app, Riese titles for Google, migrations 0010 and 0011, web app prepared for Vercel, Unit 4 readiness pack mapping every function and shared process. 20 Oct: web app live on Vercel (riese-auto-clinic.vercel.app), checked with both staff accounts.</x:v>
      </x:c>
      <x:c r="C5" s="34"/>
      <x:c r="E5" t="str">
        <x:v>Main Flutter functions working</x:v>
      </x:c>
      <x:c r="F5" s="34" t="str">
        <x:v>Yes</x:v>
      </x:c>
    </x:row>
    <x:row r="6">
      <x:c r="A6" s="28" t="str">
        <x:v>Which functions or processes remain incomplete?</x:v>
      </x:c>
      <x:c r="B6" s="34" t="str">
        <x:v>Migrations 0009/0004/0010/0011 to run on the live project (0008 is live); Flutter WhatsApp button, pull-to-refresh, add part through add_booking_part and web build; one labour ledger; web admin role from profiles; logged-in evidence and the P1/P2 recording; SRS implementation section; MS Project.</x:v>
      </x:c>
      <x:c r="C6" s="34"/>
      <x:c r="E6" t="str">
        <x:v>Main ASP.NET functions working</x:v>
      </x:c>
      <x:c r="F6" s="34" t="str">
        <x:v>Yes</x:v>
      </x:c>
    </x:row>
    <x:row r="7">
      <x:c r="A7" s="28" t="str">
        <x:v>What known limitations remain?</x:v>
      </x:c>
      <x:c r="B7" s="34" t="str">
        <x:v>Flutter has no live updates (refresh needed); push notifications Android only; Vercel container sleeps when idle; labour recorded in two tables until the 20 Oct decision.</x:v>
      </x:c>
      <x:c r="C7" s="34"/>
      <x:c r="E7" t="str">
        <x:v>At least two shared processes working</x:v>
      </x:c>
      <x:c r="F7" s="34" t="str">
        <x:v>No</x:v>
      </x:c>
    </x:row>
    <x:row r="8">
      <x:c r="A8" s="28" t="str">
        <x:v>Which contributions were particularly important?</x:v>
      </x:c>
      <x:c r="B8" s="34" t="str">
        <x:v>Gary: the Flutter app and the database. Wisani: web app, WhatsApp, access-rule migrations and hosting.</x:v>
      </x:c>
      <x:c r="C8" s="34"/>
      <x:c r="E8" t="str">
        <x:v>Integration progress recorded</x:v>
      </x:c>
      <x:c r="F8" s="34" t="str">
        <x:v>Yes</x:v>
      </x:c>
    </x:row>
    <x:row r="9">
      <x:c r="A9" s="28" t="str">
        <x:v>Were there participation concerns?</x:v>
      </x:c>
      <x:c r="B9" s="34" t="str">
        <x:v>No mobile changes on GitHub since 28 Sept; contributions from Kea, Khumo, Denny, Ofentse and Breyton for Phase 3 are planned but not yet recorded.</x:v>
      </x:c>
      <x:c r="C9" s="34"/>
      <x:c r="E9" t="str">
        <x:v>Implementation evidence recorded</x:v>
      </x:c>
      <x:c r="F9" s="34" t="str">
        <x:v>No</x:v>
      </x:c>
    </x:row>
    <x:row r="10">
      <x:c r="A10" s="28" t="str">
        <x:v>Is the prototype ready for the final demonstration?</x:v>
      </x:c>
      <x:c r="B10" s="34" t="str">
        <x:v>No</x:v>
      </x:c>
      <x:c r="C10" s="34"/>
      <x:c r="E10" t="str">
        <x:v>SRS updated</x:v>
      </x:c>
      <x:c r="F10" s="34" t="str">
        <x:v>No</x:v>
      </x:c>
    </x:row>
    <x:row r="11">
      <x:c r="A11" s="28" t="str">
        <x:v>Main priority before final presentation</x:v>
      </x:c>
      <x:c r="B11" s="34" t="str">
        <x:v>Run the database migrations, finish the Flutter changes, then record P1 and P2 working end to end on the live system.</x:v>
      </x:c>
      <x:c r="C11" s="34"/>
      <x:c r="E11" t="str">
        <x:v>Microsoft Project updated</x:v>
      </x:c>
      <x:c r="F11" s="34" t="str">
        <x:v>No</x:v>
      </x:c>
    </x:row>
    <x:row r="12">
      <x:c r="E12" t="str">
        <x:v>GitHub current</x:v>
      </x:c>
      <x:c r="F12" s="34" t="str">
        <x:v>No</x:v>
      </x:c>
    </x:row>
    <x:row r="13">
      <x:c r="E13" t="str">
        <x:v>Individual contributions recorded</x:v>
      </x:c>
      <x:c r="F13" s="34" t="str">
        <x:v>No</x:v>
      </x:c>
    </x:row>
    <x:row r="14">
      <x:c r="E14" t="str">
        <x:v>Challenges/actions updated</x:v>
      </x:c>
      <x:c r="F14" s="34" t="str">
        <x:v>Yes</x:v>
      </x:c>
    </x:row>
    <x:row r="15">
      <x:c r="E15" t="str">
        <x:v>Known limitations recorded</x:v>
      </x:c>
      <x:c r="F15" s="34" t="str">
        <x:v>Yes</x:v>
      </x:c>
    </x:row>
    <x:row r="16">
      <x:c r="E16" t="str">
        <x:v>Group reflection completed</x:v>
      </x:c>
      <x:c r="F16" s="34" t="str">
        <x:v>No</x:v>
      </x:c>
    </x:row>
    <x:row r="17">
      <x:c r="E17" t="str">
        <x:v>Final demonstration prepared</x:v>
      </x:c>
      <x:c r="F17" s="34" t="str">
        <x:v>No</x:v>
      </x:c>
    </x:row>
  </x:sheetData>
  <x:mergeCells>
    <x:mergeCell ref="A1:F1"/>
    <x:mergeCell ref="B3:C3"/>
    <x:mergeCell ref="B4:C4"/>
    <x:mergeCell ref="B5:C5"/>
    <x:mergeCell ref="B6:C6"/>
    <x:mergeCell ref="B7:C7"/>
    <x:mergeCell ref="B8:C8"/>
    <x:mergeCell ref="B9:C9"/>
    <x:mergeCell ref="B10:C10"/>
    <x:mergeCell ref="B11:C11"/>
  </x:mergeCells>
  <x:dataValidations count="3">
    <x:dataValidation type="list" sqref="B4">
      <x:formula1>"Not Started,In Progress,Completed,Blocked"</x:formula1>
    </x:dataValidation>
    <x:dataValidation type="list" sqref="B10">
      <x:formula1>"Yes,No"</x:formula1>
    </x:dataValidation>
    <x:dataValidation type="list" sqref="F4:F17">
      <x:formula1>"Yes,No"</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ht="34" customHeight="1">
      <x:c r="A1" s="5" t="str">
        <x:v>Phase 3 Group Reflection</x:v>
      </x:c>
      <x:c r="B1" s="5"/>
      <x:c r="C1" s="5"/>
      <x:c r="D1" s="5"/>
      <x:c r="E1" s="5"/>
      <x:c r="F1" s="5"/>
    </x:row>
    <x:row r="3" ht="28" customHeight="1">
      <x:c r="A3" s="28" t="str">
        <x:v>1. What did the group complete successfully during development and implementation?</x:v>
      </x:c>
      <x:c r="B3" s="28"/>
      <x:c r="C3" s="28"/>
      <x:c r="D3" s="28"/>
      <x:c r="E3" s="28"/>
      <x:c r="F3" s="28"/>
    </x:row>
    <x:row r="4" ht="38" customHeight="1">
      <x:c r="A4" s="34"/>
      <x:c r="B4" s="34"/>
      <x:c r="C4" s="34"/>
      <x:c r="D4" s="34"/>
      <x:c r="E4" s="34"/>
      <x:c r="F4" s="34"/>
    </x:row>
    <x:row r="5" ht="38" customHeight="1">
      <x:c r="A5" s="34"/>
      <x:c r="B5" s="34"/>
      <x:c r="C5" s="34"/>
      <x:c r="D5" s="34"/>
      <x:c r="E5" s="34"/>
      <x:c r="F5" s="34"/>
    </x:row>
    <x:row r="7" ht="28" customHeight="1">
      <x:c r="A7" s="28" t="str">
        <x:v>2. Which development or integration challenges were the most difficult, and how were they addressed?</x:v>
      </x:c>
      <x:c r="B7" s="28"/>
      <x:c r="C7" s="28"/>
      <x:c r="D7" s="28"/>
      <x:c r="E7" s="28"/>
      <x:c r="F7" s="28"/>
    </x:row>
    <x:row r="8" ht="38" customHeight="1">
      <x:c r="A8" s="34"/>
      <x:c r="B8" s="34"/>
      <x:c r="C8" s="34"/>
      <x:c r="D8" s="34"/>
      <x:c r="E8" s="34"/>
      <x:c r="F8" s="34"/>
    </x:row>
    <x:row r="9" ht="38" customHeight="1">
      <x:c r="A9" s="34"/>
      <x:c r="B9" s="34"/>
      <x:c r="C9" s="34"/>
      <x:c r="D9" s="34"/>
      <x:c r="E9" s="34"/>
      <x:c r="F9" s="34"/>
    </x:row>
    <x:row r="11" ht="28" customHeight="1">
      <x:c r="A11" s="28" t="str">
        <x:v>3. How did the group ensure that Flutter and ASP.NET worked with the same Supabase backend?</x:v>
      </x:c>
      <x:c r="B11" s="28"/>
      <x:c r="C11" s="28"/>
      <x:c r="D11" s="28"/>
      <x:c r="E11" s="28"/>
      <x:c r="F11" s="28"/>
    </x:row>
    <x:row r="12" ht="38" customHeight="1">
      <x:c r="A12" s="34"/>
      <x:c r="B12" s="34"/>
      <x:c r="C12" s="34"/>
      <x:c r="D12" s="34"/>
      <x:c r="E12" s="34"/>
      <x:c r="F12" s="34"/>
    </x:row>
    <x:row r="13" ht="38" customHeight="1">
      <x:c r="A13" s="34"/>
      <x:c r="B13" s="34"/>
      <x:c r="C13" s="34"/>
      <x:c r="D13" s="34"/>
      <x:c r="E13" s="34"/>
      <x:c r="F13" s="34"/>
    </x:row>
    <x:row r="15" ht="28" customHeight="1">
      <x:c r="A15" s="28" t="str">
        <x:v>4. How was development work divided among group members, and was participation balanced?</x:v>
      </x:c>
      <x:c r="B15" s="28"/>
      <x:c r="C15" s="28"/>
      <x:c r="D15" s="28"/>
      <x:c r="E15" s="28"/>
      <x:c r="F15" s="28"/>
    </x:row>
    <x:row r="16" ht="38" customHeight="1">
      <x:c r="A16" s="34"/>
      <x:c r="B16" s="34"/>
      <x:c r="C16" s="34"/>
      <x:c r="D16" s="34"/>
      <x:c r="E16" s="34"/>
      <x:c r="F16" s="34"/>
    </x:row>
    <x:row r="17" ht="38" customHeight="1">
      <x:c r="A17" s="34"/>
      <x:c r="B17" s="34"/>
      <x:c r="C17" s="34"/>
      <x:c r="D17" s="34"/>
      <x:c r="E17" s="34"/>
      <x:c r="F17" s="34"/>
    </x:row>
    <x:row r="19" ht="28" customHeight="1">
      <x:c r="A19" s="28" t="str">
        <x:v>5. Which parts of the prototype are strongest, and which limitations remain?</x:v>
      </x:c>
      <x:c r="B19" s="28"/>
      <x:c r="C19" s="28"/>
      <x:c r="D19" s="28"/>
      <x:c r="E19" s="28"/>
      <x:c r="F19" s="28"/>
    </x:row>
    <x:row r="20" ht="38" customHeight="1">
      <x:c r="A20" s="34"/>
      <x:c r="B20" s="34"/>
      <x:c r="C20" s="34"/>
      <x:c r="D20" s="34"/>
      <x:c r="E20" s="34"/>
      <x:c r="F20" s="34"/>
    </x:row>
    <x:row r="21" ht="38" customHeight="1">
      <x:c r="A21" s="34"/>
      <x:c r="B21" s="34"/>
      <x:c r="C21" s="34"/>
      <x:c r="D21" s="34"/>
      <x:c r="E21" s="34"/>
      <x:c r="F21" s="34"/>
    </x:row>
    <x:row r="23" ht="28" customHeight="1">
      <x:c r="A23" s="28" t="str">
        <x:v>6. What did the group learn from developing and integrating the prototype?</x:v>
      </x:c>
      <x:c r="B23" s="28"/>
      <x:c r="C23" s="28"/>
      <x:c r="D23" s="28"/>
      <x:c r="E23" s="28"/>
      <x:c r="F23" s="28"/>
    </x:row>
    <x:row r="24" ht="38" customHeight="1">
      <x:c r="A24" s="34"/>
      <x:c r="B24" s="34"/>
      <x:c r="C24" s="34"/>
      <x:c r="D24" s="34"/>
      <x:c r="E24" s="34"/>
      <x:c r="F24" s="34"/>
    </x:row>
    <x:row r="25" ht="38" customHeight="1">
      <x:c r="A25" s="34"/>
      <x:c r="B25" s="34"/>
      <x:c r="C25" s="34"/>
      <x:c r="D25" s="34"/>
      <x:c r="E25" s="34"/>
      <x:c r="F25" s="34"/>
    </x:row>
    <x:row r="27" ht="28" customHeight="1">
      <x:c r="A27" s="28" t="str">
        <x:v>7. What would the group improve if the project continued beyond the final assessment?</x:v>
      </x:c>
      <x:c r="B27" s="28"/>
      <x:c r="C27" s="28"/>
      <x:c r="D27" s="28"/>
      <x:c r="E27" s="28"/>
      <x:c r="F27" s="28"/>
    </x:row>
    <x:row r="28" ht="38" customHeight="1">
      <x:c r="A28" s="34"/>
      <x:c r="B28" s="34"/>
      <x:c r="C28" s="34"/>
      <x:c r="D28" s="34"/>
      <x:c r="E28" s="34"/>
      <x:c r="F28" s="34"/>
    </x:row>
    <x:row r="29" ht="38" customHeight="1">
      <x:c r="A29" s="34"/>
      <x:c r="B29" s="34"/>
      <x:c r="C29" s="34"/>
      <x:c r="D29" s="34"/>
      <x:c r="E29" s="34"/>
      <x:c r="F29" s="34"/>
    </x:row>
  </x:sheetData>
  <x:mergeCells>
    <x:mergeCell ref="A1:F1"/>
    <x:mergeCell ref="A3:F3"/>
    <x:mergeCell ref="A4:F5"/>
    <x:mergeCell ref="A7:F7"/>
    <x:mergeCell ref="A8:F9"/>
    <x:mergeCell ref="A11:F11"/>
    <x:mergeCell ref="A12:F13"/>
    <x:mergeCell ref="A15:F15"/>
    <x:mergeCell ref="A16:F17"/>
    <x:mergeCell ref="A19:F19"/>
    <x:mergeCell ref="A20:F21"/>
    <x:mergeCell ref="A23:F23"/>
    <x:mergeCell ref="A24:F25"/>
    <x:mergeCell ref="A27:F27"/>
    <x:mergeCell ref="A28:F29"/>
  </x:mergeCells>
  <x:pageMargins left="0.7" right="0.7" top="0.75" bottom="0.75" header="0.3" footer="0.3"/>
</x:worksheet>
</file>