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c6bf871c74d04" /></Relationships>
</file>

<file path=xl/workbook.xml><?xml version="1.0" encoding="utf-8"?>
<x:workbook xmlns:x="http://schemas.openxmlformats.org/spreadsheetml/2006/main">
  <x:sheets>
    <x:sheet xmlns:r="http://schemas.openxmlformats.org/officeDocument/2006/relationships" name="Instructions" sheetId="1" r:id="R857e22f45c374353"/>
    <x:sheet xmlns:r="http://schemas.openxmlformats.org/officeDocument/2006/relationships" name="Project Overview" sheetId="2" r:id="R44c6950f947641d6"/>
    <x:sheet xmlns:r="http://schemas.openxmlformats.org/officeDocument/2006/relationships" name="Development Progress" sheetId="3" r:id="R79bbf1b9ac114aad"/>
    <x:sheet xmlns:r="http://schemas.openxmlformats.org/officeDocument/2006/relationships" name="Individual Contributions" sheetId="4" r:id="R8d67204a2f094f8f"/>
    <x:sheet xmlns:r="http://schemas.openxmlformats.org/officeDocument/2006/relationships" name="Integration Progress" sheetId="5" r:id="R0742ed42637d4660"/>
    <x:sheet xmlns:r="http://schemas.openxmlformats.org/officeDocument/2006/relationships" name="Implementation Evidence" sheetId="6" r:id="Rf9ee769258174d5a"/>
    <x:sheet xmlns:r="http://schemas.openxmlformats.org/officeDocument/2006/relationships" name="Challenges &amp; Actions" sheetId="7" r:id="Rdd8cb26db9504acf"/>
    <x:sheet xmlns:r="http://schemas.openxmlformats.org/officeDocument/2006/relationships" name="Phase Summary" sheetId="8" r:id="R1737e9de5be548dd"/>
    <x:sheet xmlns:r="http://schemas.openxmlformats.org/officeDocument/2006/relationships" name="Group Reflection" sheetId="9" r:id="R6a32d1d129a94f0d"/>
  </x:sheets>
  <x:calcPr fullCalcOnLoad="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5"/>
      <x:color rgb="FFFFFFFF"/>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3" fillId="6" borderId="0" xfId="0" applyNumberFormat="1" applyFont="1" applyFill="1" applyBorder="1"/>
    <x:xf numFmtId="200" fontId="3" fillId="6" borderId="0" xfId="0" applyNumberFormat="1" applyFont="1" applyFill="1" applyBorder="1"/>
    <x:xf numFmtId="0" fontId="3" fillId="6" borderId="0" xfId="0" applyNumberFormat="1" applyFont="1" applyFill="1" applyBorder="1" applyAlignment="1">
      <x:alignment horizontal="center"/>
    </x:xf>
    <x:xf numFmtId="200" fontId="3" fillId="6" borderId="0" xfId="0" applyNumberFormat="1" applyFont="1" applyFill="1" applyBorder="1" applyAlignment="1">
      <x:alignment horizontal="center"/>
    </x:xf>
    <x:xf numFmtId="0" fontId="0" fillId="6" borderId="1" xfId="0" applyNumberFormat="1" applyFont="1" applyFill="1" applyBorder="1"/>
    <x:xf numFmtId="200" fontId="0" fillId="6" borderId="1" xfId="0" applyNumberFormat="1" applyFont="1" applyFill="1" applyBorder="1"/>
    <x:xf numFmtId="0" fontId="3" fillId="6" borderId="1" xfId="0" applyNumberFormat="1" applyFont="1" applyFill="1" applyBorder="1"/>
    <x:xf numFmtId="200" fontId="3" fillId="6" borderId="1" xfId="0" applyNumberFormat="1" applyFont="1" applyFill="1" applyBorder="1"/>
    <x:xf numFmtId="0" fontId="3" fillId="6" borderId="1" xfId="0" applyNumberFormat="1" applyFont="1" applyFill="1" applyBorder="1" applyAlignment="1">
      <x:alignment horizontal="center"/>
    </x:xf>
    <x:xf numFmtId="200" fontId="3" fillId="6" borderId="1" xfId="0" applyNumberFormat="1" applyFont="1" applyFill="1" applyBorder="1" applyAlignment="1">
      <x:alignment horizontal="center"/>
    </x:xf>
    <x:xf numFmtId="200" fontId="0" fillId="5"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cellXfs>
  <x:cellStyles count="1">
    <x:cellStyle name="Normal" xfId="0"/>
  </x:cellStyles>
  <x:dxfs count="7">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9c3d6eceb24fbf" /><Relationship Type="http://schemas.openxmlformats.org/officeDocument/2006/relationships/theme" Target="/xl/theme/theme1.xml" Id="R3f17d6b22b3b41e5" /><Relationship Type="http://schemas.openxmlformats.org/officeDocument/2006/relationships/sharedStrings" Target="/xl/sharedStrings.xml" Id="Rfc0aaf354657415f" /><Relationship Type="http://schemas.openxmlformats.org/officeDocument/2006/relationships/worksheet" Target="/xl/worksheets/sheet1.xml" Id="R857e22f45c374353" /><Relationship Type="http://schemas.openxmlformats.org/officeDocument/2006/relationships/worksheet" Target="/xl/worksheets/sheet2.xml" Id="R44c6950f947641d6" /><Relationship Type="http://schemas.openxmlformats.org/officeDocument/2006/relationships/worksheet" Target="/xl/worksheets/sheet3.xml" Id="R79bbf1b9ac114aad" /><Relationship Type="http://schemas.openxmlformats.org/officeDocument/2006/relationships/worksheet" Target="/xl/worksheets/sheet4.xml" Id="R8d67204a2f094f8f" /><Relationship Type="http://schemas.openxmlformats.org/officeDocument/2006/relationships/worksheet" Target="/xl/worksheets/sheet5.xml" Id="R0742ed42637d4660" /><Relationship Type="http://schemas.openxmlformats.org/officeDocument/2006/relationships/worksheet" Target="/xl/worksheets/sheet6.xml" Id="Rf9ee769258174d5a" /><Relationship Type="http://schemas.openxmlformats.org/officeDocument/2006/relationships/worksheet" Target="/xl/worksheets/sheet7.xml" Id="Rdd8cb26db9504acf" /><Relationship Type="http://schemas.openxmlformats.org/officeDocument/2006/relationships/worksheet" Target="/xl/worksheets/sheet8.xml" Id="R1737e9de5be548dd" /><Relationship Type="http://schemas.openxmlformats.org/officeDocument/2006/relationships/worksheet" Target="/xl/worksheets/sheet9.xml" Id="R6a32d1d129a94f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42" hidden="0" customWidth="1"/>
    <x:col min="3" max="3" width="52" hidden="0" customWidth="1"/>
    <x:col min="4" max="4" width="14" hidden="0" customWidth="1"/>
    <x:col min="5" max="5" width="14" hidden="0" customWidth="1"/>
    <x:col min="6" max="6" width="14" hidden="0" customWidth="1"/>
  </x:cols>
  <x:sheetData>
    <x:row r="1" ht="34" customHeight="1">
      <x:c r="A1" s="5" t="str">
        <x:v>ITC327W Phase 3 Project Progress Tracker</x:v>
      </x:c>
      <x:c r="B1" s="5"/>
      <x:c r="C1" s="5"/>
      <x:c r="D1" s="5"/>
      <x:c r="E1" s="5"/>
      <x:c r="F1" s="5"/>
    </x:row>
    <x:row r="2" ht="34" customHeight="1">
      <x:c r="A2" s="11" t="str">
        <x:v>Use this workbook during Phase 3: System Development, Implementation and Final Demonstration. Update it throughout the phase and submit the same workbook with Assessment 3.</x:v>
      </x:c>
      <x:c r="B2" s="11"/>
      <x:c r="C2" s="11"/>
      <x:c r="D2" s="11"/>
      <x:c r="E2" s="11"/>
      <x:c r="F2" s="11"/>
    </x:row>
    <x:row r="4" ht="30" customHeight="1">
      <x:c r="A4" s="17" t="str">
        <x:v>Sheet</x:v>
      </x:c>
      <x:c r="B4" s="17" t="str">
        <x:v>Purpose</x:v>
      </x:c>
      <x:c r="C4" s="17" t="str">
        <x:v>What must be kept current</x:v>
      </x:c>
    </x:row>
    <x:row r="5" ht="42" customHeight="1">
      <x:c r="A5" s="22" t="str">
        <x:v>Project Overview</x:v>
      </x:c>
      <x:c r="B5" s="22" t="str">
        <x:v>Group details and automatic development summary</x:v>
      </x:c>
      <x:c r="C5" s="22" t="str">
        <x:v>Project details, GitHub link and current Phase 3 progress</x:v>
      </x:c>
    </x:row>
    <x:row r="6" ht="42" customHeight="1">
      <x:c r="A6" s="22" t="str">
        <x:v>Development Progress</x:v>
      </x:c>
      <x:c r="B6" s="22" t="str">
        <x:v>Track implementation work</x:v>
      </x:c>
      <x:c r="C6" s="22" t="str">
        <x:v>Supabase, Flutter, ASP.NET, integration, SRS, GitHub, Microsoft Project and demonstration preparation</x:v>
      </x:c>
    </x:row>
    <x:row r="7" ht="42" customHeight="1">
      <x:c r="A7" s="22" t="str">
        <x:v>Individual Contributions</x:v>
      </x:c>
      <x:c r="B7" s="22" t="str">
        <x:v>Record work personally completed by each student</x:v>
      </x:c>
      <x:c r="C7" s="22" t="str">
        <x:v>Activity, responsibility, completed work and evidence</x:v>
      </x:c>
    </x:row>
    <x:row r="8" ht="42" customHeight="1">
      <x:c r="A8" s="22" t="str">
        <x:v>Integration Progress</x:v>
      </x:c>
      <x:c r="B8" s="22" t="str">
        <x:v>Track important shared processes across the system</x:v>
      </x:c>
      <x:c r="C8" s="22" t="str">
        <x:v>Flutter action, ASP.NET action, shared Supabase information and current working status</x:v>
      </x:c>
    </x:row>
    <x:row r="9" ht="42" customHeight="1">
      <x:c r="A9" s="22" t="str">
        <x:v>Implementation Evidence</x:v>
      </x:c>
      <x:c r="B9" s="22" t="str">
        <x:v>Record evidence of the working prototype</x:v>
      </x:c>
      <x:c r="C9" s="22" t="str">
        <x:v>Screenshots, recordings, GitHub commits/links and relevant SRS sections</x:v>
      </x:c>
    </x:row>
    <x:row r="10" ht="42" customHeight="1">
      <x:c r="A10" s="22" t="str">
        <x:v>Challenges &amp; Actions</x:v>
      </x:c>
      <x:c r="B10" s="22" t="str">
        <x:v>Record development/integration challenges and corrective action</x:v>
      </x:c>
      <x:c r="C10" s="22" t="str">
        <x:v>Problem, effect, action, owner, target date and status</x:v>
      </x:c>
    </x:row>
    <x:row r="11" ht="42" customHeight="1">
      <x:c r="A11" s="22" t="str">
        <x:v>Phase Summary</x:v>
      </x:c>
      <x:c r="B11" s="22" t="str">
        <x:v>Summarise Phase 3 progress</x:v>
      </x:c>
      <x:c r="C11" s="22" t="str">
        <x:v>Completed work, limitations, participation and final readiness</x:v>
      </x:c>
    </x:row>
    <x:row r="12" ht="42" customHeight="1">
      <x:c r="A12" s="22" t="str">
        <x:v>Group Reflection</x:v>
      </x:c>
      <x:c r="B12" s="22" t="str">
        <x:v>One shared final group reflection</x:v>
      </x:c>
      <x:c r="C12" s="22" t="str">
        <x:v>Development experience, collaboration, challenges and lessons learned</x:v>
      </x:c>
    </x:row>
    <x:row r="14">
      <x:c r="A14" s="14" t="str">
        <x:v>Important</x:v>
      </x:c>
      <x:c r="B14" s="14"/>
      <x:c r="C14" s="14"/>
      <x:c r="D14" s="14"/>
      <x:c r="E14" s="14"/>
      <x:c r="F14" s="14"/>
    </x:row>
    <x:row r="15">
      <x:c r="A15" s="24" t="str">
        <x:v>Phase 3 does not require a formal test plan, test cases or defect log. Record normal development checks, working functions, integration progress, challenges and corrections as part of implementation. Do not include passwords, API keys or confidential stakeholder/user information.</x:v>
      </x:c>
      <x:c r="B15" s="24"/>
      <x:c r="C15" s="24"/>
      <x:c r="D15" s="24"/>
      <x:c r="E15" s="24"/>
      <x:c r="F15" s="24"/>
    </x:row>
    <x:row r="16">
      <x:c r="A16" s="24"/>
      <x:c r="B16" s="24"/>
      <x:c r="C16" s="24"/>
      <x:c r="D16" s="24"/>
      <x:c r="E16" s="24"/>
      <x:c r="F16" s="24"/>
    </x:row>
    <x:row r="17">
      <x:c r="A17" s="24"/>
      <x:c r="B17" s="24"/>
      <x:c r="C17" s="24"/>
      <x:c r="D17" s="24"/>
      <x:c r="E17" s="24"/>
      <x:c r="F17" s="24"/>
    </x:row>
    <x:row r="18">
      <x:c r="A18" s="24"/>
      <x:c r="B18" s="24"/>
      <x:c r="C18" s="24"/>
      <x:c r="D18" s="24"/>
      <x:c r="E18" s="24"/>
      <x:c r="F18" s="24"/>
    </x:row>
    <x:row r="19">
      <x:c r="A19" s="24"/>
      <x:c r="B19" s="24"/>
      <x:c r="C19" s="24"/>
      <x:c r="D19" s="24"/>
      <x:c r="E19" s="24"/>
      <x:c r="F19" s="24"/>
    </x:row>
  </x:sheetData>
  <x:mergeCells>
    <x:mergeCell ref="A1:F1"/>
    <x:mergeCell ref="A2:F2"/>
    <x:mergeCell ref="A14:F14"/>
    <x:mergeCell ref="A15:F19"/>
  </x:mergeCells>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38" hidden="0" customWidth="1"/>
    <x:col min="3" max="3" width="4" hidden="0" customWidth="1"/>
    <x:col min="4" max="4" width="25" hidden="0" customWidth="1"/>
    <x:col min="5" max="5" width="18" hidden="0" customWidth="1"/>
    <x:col min="6" max="6" width="16" hidden="0" customWidth="1"/>
    <x:col min="7" max="7" width="16" hidden="0" customWidth="1"/>
    <x:col min="8" max="8" width="16" hidden="0" customWidth="1"/>
  </x:cols>
  <x:sheetData>
    <x:row r="1" ht="34" customHeight="1">
      <x:c r="A1" s="5" t="str">
        <x:v>Phase 3 Project Overview</x:v>
      </x:c>
      <x:c r="B1" s="5"/>
      <x:c r="C1" s="5"/>
      <x:c r="D1" s="5"/>
      <x:c r="E1" s="5"/>
      <x:c r="F1" s="5"/>
      <x:c r="G1" s="5"/>
      <x:c r="H1" s="5"/>
    </x:row>
    <x:row r="3">
      <x:c r="A3" s="28" t="str">
        <x:v>Group</x:v>
      </x:c>
      <x:c r="B3" s="34" t="str">
        <x:v>Group Y (The Zealots)</x:v>
      </x:c>
      <x:c r="D3" s="38" t="str">
        <x:v>Phase 3 Development Summary</x:v>
      </x:c>
      <x:c r="E3" s="38"/>
      <x:c r="F3" s="38"/>
      <x:c r="G3" s="38"/>
      <x:c r="H3" s="38"/>
    </x:row>
    <x:row r="4">
      <x:c r="A4" s="28" t="str">
        <x:v>Project Title</x:v>
      </x:c>
      <x:c r="B4" s="34" t="str">
        <x:v>Spanner - Workshop Booking, Stock &amp; Invoicing System</x:v>
      </x:c>
      <x:c r="D4" s="27" t="str">
        <x:v>Total tracked items</x:v>
      </x:c>
      <x:c r="E4" s="46" t="n">
        <x:f>COUNTA('Development Progress'!A4:A33)</x:f>
        <x:v>25</x:v>
      </x:c>
    </x:row>
    <x:row r="5">
      <x:c r="A5" s="28" t="str">
        <x:v>Stakeholder / Organisation</x:v>
      </x:c>
      <x:c r="B5" s="34" t="str">
        <x:v>Riese Auto-Clinic - Michael Riese (Owner/Head Mechanic)</x:v>
      </x:c>
      <x:c r="D5" s="27" t="str">
        <x:v>Completed</x:v>
      </x:c>
      <x:c r="E5" s="46" t="n">
        <x:f>COUNTIF('Development Progress'!G4:G33,"Completed")</x:f>
        <x:v>16</x:v>
      </x:c>
    </x:row>
    <x:row r="6">
      <x:c r="A6" s="28" t="str">
        <x:v>Group Leader</x:v>
      </x:c>
      <x:c r="B6" s="34" t="str"/>
      <x:c r="D6" s="27" t="str">
        <x:v>In Progress</x:v>
      </x:c>
      <x:c r="E6" s="46" t="n">
        <x:f>COUNTIF('Development Progress'!G4:G33,"In Progress")</x:f>
        <x:v>8</x:v>
      </x:c>
    </x:row>
    <x:row r="7">
      <x:c r="A7" s="28" t="str">
        <x:v>Number of Group Members</x:v>
      </x:c>
      <x:c r="B7" s="34" t="n">
        <x:v>7</x:v>
      </x:c>
      <x:c r="D7" s="27" t="str">
        <x:v>Blocked</x:v>
      </x:c>
      <x:c r="E7" s="46" t="n">
        <x:f>COUNTIF('Development Progress'!G4:G33,"Blocked")</x:f>
        <x:v>0</x:v>
      </x:c>
    </x:row>
    <x:row r="8">
      <x:c r="A8" s="28" t="str">
        <x:v>GitHub Repository Link</x:v>
      </x:c>
      <x:c r="B8" s="34" t="str">
        <x:v>https://github.com/BlackZ3ro/Spanner-Riese-Auto-Clinic</x:v>
      </x:c>
      <x:c r="D8" s="27" t="str">
        <x:v>Average completion</x:v>
      </x:c>
      <x:c r="E8" s="47" t="n">
        <x:f>IFERROR(AVERAGE('Development Progress'!H4:H33),0)</x:f>
        <x:v>0.878</x:v>
      </x:c>
    </x:row>
    <x:row r="9">
      <x:c r="A9" s="28" t="str">
        <x:v>Reporting Period</x:v>
      </x:c>
      <x:c r="B9" s="34" t="str">
        <x:v>15 Oct - 2 Nov 2026 (last updated 30 Oct 2026)</x:v>
      </x:c>
    </x:row>
    <x:row r="10">
      <x:c r="A10" s="28" t="str">
        <x:v>Overall Phase Status</x:v>
      </x:c>
      <x:c r="B10" s="34" t="str">
        <x:v>In Progress</x:v>
      </x:c>
      <x:c r="D10" s="14" t="str">
        <x:v>Phase 3 Reminder</x:v>
      </x:c>
      <x:c r="E10" s="14"/>
      <x:c r="F10" s="14"/>
      <x:c r="G10" s="14"/>
      <x:c r="H10" s="14"/>
    </x:row>
    <x:row r="11">
      <x:c r="D11" s="24" t="str">
        <x:v>Phase 3 focuses on implementing and demonstrating the integrated prototype. Track the shared Supabase backend, Flutter mobile application, ASP.NET web application, important shared processes, GitHub evidence, Microsoft Project and the final demonstration.</x:v>
      </x:c>
      <x:c r="E11" s="24"/>
      <x:c r="F11" s="24"/>
      <x:c r="G11" s="24"/>
      <x:c r="H11" s="24"/>
    </x:row>
    <x:row r="12">
      <x:c r="D12" s="24"/>
      <x:c r="E12" s="24"/>
      <x:c r="F12" s="24"/>
      <x:c r="G12" s="24"/>
      <x:c r="H12" s="24"/>
    </x:row>
    <x:row r="13">
      <x:c r="D13" s="24"/>
      <x:c r="E13" s="24"/>
      <x:c r="F13" s="24"/>
      <x:c r="G13" s="24"/>
      <x:c r="H13" s="24"/>
    </x:row>
    <x:row r="14">
      <x:c r="D14" s="24"/>
      <x:c r="E14" s="24"/>
      <x:c r="F14" s="24"/>
      <x:c r="G14" s="24"/>
      <x:c r="H14" s="24"/>
    </x:row>
    <x:row r="15">
      <x:c r="D15" s="24"/>
      <x:c r="E15" s="24"/>
      <x:c r="F15" s="24"/>
      <x:c r="G15" s="24"/>
      <x:c r="H15" s="24"/>
    </x:row>
  </x:sheetData>
  <x:mergeCells>
    <x:mergeCell ref="A1:H1"/>
    <x:mergeCell ref="D3:H3"/>
    <x:mergeCell ref="D10:H10"/>
    <x:mergeCell ref="D11:H15"/>
  </x:mergeCells>
  <x:dataValidations count="1">
    <x:dataValidation type="list" sqref="B10">
      <x:formula1>"Not Started,In Progress,Completed,Blocked"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2" hidden="0" customWidth="1"/>
    <x:col min="3" max="3" width="46" hidden="0" customWidth="1"/>
    <x:col min="4" max="4" width="25" hidden="0" customWidth="1"/>
    <x:col min="5" max="5" width="15" hidden="0" customWidth="1"/>
    <x:col min="6" max="6" width="15" hidden="0" customWidth="1"/>
    <x:col min="7" max="7" width="15" hidden="0" customWidth="1"/>
    <x:col min="8" max="8" width="12" hidden="0" customWidth="1"/>
    <x:col min="9" max="9" width="35" hidden="0" customWidth="1"/>
    <x:col min="10" max="10" width="34" hidden="0" customWidth="1"/>
  </x:cols>
  <x:sheetData>
    <x:row r="1" ht="34" customHeight="1">
      <x:c r="A1" s="5" t="str">
        <x:v>Phase 3 Development Progress</x:v>
      </x:c>
      <x:c r="B1" s="5"/>
      <x:c r="C1" s="5"/>
      <x:c r="D1" s="5"/>
      <x:c r="E1" s="5"/>
      <x:c r="F1" s="5"/>
      <x:c r="G1" s="5"/>
      <x:c r="H1" s="5"/>
      <x:c r="I1" s="5"/>
      <x:c r="J1" s="5"/>
    </x:row>
    <x:row r="3" ht="30" customHeight="1">
      <x:c r="A3" s="17" t="str">
        <x:v>Task ID</x:v>
      </x:c>
      <x:c r="B3" s="17" t="str">
        <x:v>Development Area</x:v>
      </x:c>
      <x:c r="C3" s="17" t="str">
        <x:v>Task / Function</x:v>
      </x:c>
      <x:c r="D3" s="17" t="str">
        <x:v>Responsible Student(s)</x:v>
      </x:c>
      <x:c r="E3" s="17" t="str">
        <x:v>Planned Date</x:v>
      </x:c>
      <x:c r="F3" s="17" t="str">
        <x:v>Actual Completion Date</x:v>
      </x:c>
      <x:c r="G3" s="17" t="str">
        <x:v>Status</x:v>
      </x:c>
      <x:c r="H3" s="17" t="str">
        <x:v>% Complete</x:v>
      </x:c>
      <x:c r="I3" s="17" t="str">
        <x:v>Evidence / GitHub Link</x:v>
      </x:c>
      <x:c r="J3" s="17" t="str">
        <x:v>Notes / Action Required</x:v>
      </x:c>
    </x:row>
    <x:row r="4">
      <x:c r="A4" s="22" t="str">
        <x:v>P3-01</x:v>
      </x:c>
      <x:c r="B4" s="22" t="str">
        <x:v>Supabase Backend</x:v>
      </x:c>
      <x:c r="C4" s="22" t="str">
        <x:v>Required tables, fields, keys and relationships implemented</x:v>
      </x:c>
      <x:c r="D4" s="34" t="str">
        <x:v>Gary van Wyk; Wisani Nkuna</x:v>
      </x:c>
      <x:c r="E4" s="34" t="str">
        <x:v>2026-10-21</x:v>
      </x:c>
      <x:c r="F4" s="34" t="str">
        <x:v>2026-10-30</x:v>
      </x:c>
      <x:c r="G4" s="34" t="str">
        <x:v>Completed</x:v>
      </x:c>
      <x:c r="H4" s="54" t="n">
        <x:v>1</x:v>
      </x:c>
      <x:c r="I4" s="34" t="str">
        <x:v>supabase/migrations/0001-0011; project-docs/phase-2/uml-and-erd.md (ERD)</x:v>
      </x:c>
      <x:c r="J4" s="34" t="str">
        <x:v>All tables, keys and database functions live and shared by both apps. Migrations 0001-0011 run on the shared project (0008 and 0010 checked live by us; 0009 and 0011 run, confirmed by the group 30 Oct). Dummy booking created on the phone, read on the web, deleted with stock restored (30 Oct).</x:v>
      </x:c>
    </x:row>
    <x:row r="5">
      <x:c r="A5" s="22" t="str">
        <x:v>P3-02</x:v>
      </x:c>
      <x:c r="B5" s="22" t="str">
        <x:v>Supabase Backend</x:v>
      </x:c>
      <x:c r="C5" s="22" t="str">
        <x:v>Authentication and access configured where required</x:v>
      </x:c>
      <x:c r="D5" s="34" t="str">
        <x:v>Gary van Wyk; Wisani Nkuna</x:v>
      </x:c>
      <x:c r="E5" s="34" t="str">
        <x:v>2026-10-21</x:v>
      </x:c>
      <x:c r="F5" s="34" t="str">
        <x:v>2026-10-30</x:v>
      </x:c>
      <x:c r="G5" s="34" t="str">
        <x:v>Completed</x:v>
      </x:c>
      <x:c r="H5" s="54" t="n">
        <x:v>1</x:v>
      </x:c>
      <x:c r="I5" s="34" t="str">
        <x:v>supabase/migrations/0007, 0008, 0011; web/Pages/Account/Login; mobile/lib/features/auth</x:v>
      </x:c>
      <x:c r="J5" s="34" t="str">
        <x:v>Supabase Auth on both apps. Anonymous visitors read nothing and the staff functions refuse them (0008). 30 Oct: a mechanic updating a closed booking changes 0 rows, an admin changes 1; mechanic sees no Finalize, Reopen or Delete on either app (screens m26, w15).</x:v>
      </x:c>
    </x:row>
    <x:row r="6">
      <x:c r="A6" s="22" t="str">
        <x:v>P3-03</x:v>
      </x:c>
      <x:c r="B6" s="22" t="str">
        <x:v>Flutter</x:v>
      </x:c>
      <x:c r="C6" s="22" t="str">
        <x:v>Approved mobile screens and navigation implemented</x:v>
      </x:c>
      <x:c r="D6" s="34" t="str">
        <x:v>Gary van Wyk</x:v>
      </x:c>
      <x:c r="E6" s="34" t="str">
        <x:v>2026-10-24</x:v>
      </x:c>
      <x:c r="F6" s="34" t="str">
        <x:v>2026-09-28</x:v>
      </x:c>
      <x:c r="G6" s="34" t="str">
        <x:v>Completed</x:v>
      </x:c>
      <x:c r="H6" s="54" t="n">
        <x:v>1</x:v>
      </x:c>
      <x:c r="I6" s="34" t="str">
        <x:v>mobile/lib/features/*/presentation</x:v>
      </x:c>
      <x:c r="J6" s="34" t="str">
        <x:v>Login, home, book-in, bookings list, booking details, stock, customer lookup/status screens on main. Gary added fingerprint login and the WhatsApp sheet (29-30 Oct). 26 screenshots taken 30 Oct (project-docs/phase-3/evidence/mobile).</x:v>
      </x:c>
    </x:row>
    <x:row r="7">
      <x:c r="A7" s="22" t="str">
        <x:v>P3-04</x:v>
      </x:c>
      <x:c r="B7" s="22" t="str">
        <x:v>Flutter</x:v>
      </x:c>
      <x:c r="C7" s="22" t="str">
        <x:v>Main mobile functions connected to Supabase</x:v>
      </x:c>
      <x:c r="D7" s="34" t="str">
        <x:v>Gary van Wyk</x:v>
      </x:c>
      <x:c r="E7" s="34" t="str">
        <x:v>2026-10-25</x:v>
      </x:c>
      <x:c r="F7" s="34" t="str">
        <x:v>2026-10-30</x:v>
      </x:c>
      <x:c r="G7" s="34" t="str">
        <x:v>Completed</x:v>
      </x:c>
      <x:c r="H7" s="54" t="n">
        <x:v>1</x:v>
      </x:c>
      <x:c r="I7" s="34" t="str">
        <x:v>mobile/lib/features/*/data</x:v>
      </x:c>
      <x:c r="J7" s="34" t="str">
        <x:v>All main functions read/write Supabase and ran against the live project 30 Oct. Done: Send on WhatsApp, kIsWeb guard, missing logo asset, pull-to-refresh on the bookings list and booking page, add part through the add_booking_part database function (tested: part saved, stock 3 to 2, one stock movement).</x:v>
      </x:c>
    </x:row>
    <x:row r="8">
      <x:c r="A8" s="22" t="str">
        <x:v>P3-05</x:v>
      </x:c>
      <x:c r="B8" s="22" t="str">
        <x:v>ASP.NET</x:v>
      </x:c>
      <x:c r="C8" s="22" t="str">
        <x:v>Approved web pages and navigation implemented</x:v>
      </x:c>
      <x:c r="D8" s="34" t="str">
        <x:v>Wisani Nkuna</x:v>
      </x:c>
      <x:c r="E8" s="34" t="str">
        <x:v>2026-10-16</x:v>
      </x:c>
      <x:c r="F8" s="34" t="str">
        <x:v>2026-10-16</x:v>
      </x:c>
      <x:c r="G8" s="34" t="str">
        <x:v>Completed</x:v>
      </x:c>
      <x:c r="H8" s="54" t="n">
        <x:v>1</x:v>
      </x:c>
      <x:c r="I8" s="34" t="str">
        <x:v>web/Pages</x:v>
      </x:c>
      <x:c r="J8" s="34" t="str">
        <x:v>All approved pages and navigation; public /Track page; restyled 30 Oct to the same dark look as the mobile app.</x:v>
      </x:c>
    </x:row>
    <x:row r="9">
      <x:c r="A9" s="22" t="str">
        <x:v>P3-06</x:v>
      </x:c>
      <x:c r="B9" s="22" t="str">
        <x:v>ASP.NET</x:v>
      </x:c>
      <x:c r="C9" s="22" t="str">
        <x:v>Main web functions connected to Supabase</x:v>
      </x:c>
      <x:c r="D9" s="34" t="str">
        <x:v>Wisani Nkuna</x:v>
      </x:c>
      <x:c r="E9" s="34" t="str">
        <x:v>2026-10-25</x:v>
      </x:c>
      <x:c r="F9" s="34" t="str">
        <x:v>2026-10-30</x:v>
      </x:c>
      <x:c r="G9" s="34" t="str">
        <x:v>Completed</x:v>
      </x:c>
      <x:c r="H9" s="54" t="n">
        <x:v>1</x:v>
      </x:c>
      <x:c r="I9" s="34" t="str">
        <x:v>web/Pages, web/Services</x:v>
      </x:c>
      <x:c r="J9" s="34" t="str">
        <x:v>All main functions use Supabase and were run live 30 Oct (16 screenshots). Labour read and written from booking_labor; admin role read from profiles.role at login (checked with the email list emptied: admin still sees Finalize, mechanic does not).</x:v>
      </x:c>
    </x:row>
    <x:row r="10">
      <x:c r="A10" s="22" t="str">
        <x:v>P3-07</x:v>
      </x:c>
      <x:c r="B10" s="22" t="str">
        <x:v>Integration</x:v>
      </x:c>
      <x:c r="C10" s="22" t="str">
        <x:v>Shared Process 1 working across the integrated system</x:v>
      </x:c>
      <x:c r="D10" s="34" t="str">
        <x:v>Wisani Nkuna; Gary van Wyk; Keamogetse Ogone Kgosi (Kea) (recording)</x:v>
      </x:c>
      <x:c r="E10" s="34" t="str">
        <x:v>2026-10-27</x:v>
      </x:c>
      <x:c r="F10" s="34" t="str">
        <x:v>2026-10-30</x:v>
      </x:c>
      <x:c r="G10" s="34" t="str">
        <x:v>In Progress</x:v>
      </x:c>
      <x:c r="H10" s="54" t="n">
        <x:v>0.9</x:v>
      </x:c>
      <x:c r="I10" s="34" t="str">
        <x:v>Integration Progress sheet, P1</x:v>
      </x:c>
      <x:c r="J10" s="34" t="str">
        <x:v>Shown working in both directions 30 Oct: booking created on the phone (m09-m16) opens on the web with the same code, part and phase (w04); stock dropped 3 to 2 (m24). Kea's side-by-side recording still to capture.</x:v>
      </x:c>
    </x:row>
    <x:row r="11">
      <x:c r="A11" s="22" t="str">
        <x:v>P3-08</x:v>
      </x:c>
      <x:c r="B11" s="22" t="str">
        <x:v>Integration</x:v>
      </x:c>
      <x:c r="C11" s="22" t="str">
        <x:v>Shared Process 2 working across the integrated system</x:v>
      </x:c>
      <x:c r="D11" s="34" t="str">
        <x:v>Wisani Nkuna; Gary van Wyk; Keamogetse Ogone Kgosi (Kea) (recording)</x:v>
      </x:c>
      <x:c r="E11" s="34" t="str">
        <x:v>2026-10-27</x:v>
      </x:c>
      <x:c r="F11" s="34" t="str">
        <x:v>2026-10-30</x:v>
      </x:c>
      <x:c r="G11" s="34" t="str">
        <x:v>In Progress</x:v>
      </x:c>
      <x:c r="H11" s="54" t="n">
        <x:v>0.9</x:v>
      </x:c>
      <x:c r="I11" s="34" t="str">
        <x:v>Integration Progress sheet, P2</x:v>
      </x:c>
      <x:c r="J11" s="34" t="str">
        <x:v>Shown 30 Oct: phase changed on the web (w10), seen on the phone customer screen and staff list (m17-m19); finalized on the phone, seen on /Track (w14). WhatsApp message prepared. Push and the recording still to do.</x:v>
      </x:c>
    </x:row>
    <x:row r="12">
      <x:c r="A12" s="22" t="str">
        <x:v>P3-09</x:v>
      </x:c>
      <x:c r="B12" s="22" t="str">
        <x:v>Integration</x:v>
      </x:c>
      <x:c r="C12" s="22" t="str">
        <x:v>Data fields and status values consistent across applications</x:v>
      </x:c>
      <x:c r="D12" s="34" t="str">
        <x:v>Wisani Nkuna; Gary van Wyk</x:v>
      </x:c>
      <x:c r="E12" s="34" t="str">
        <x:v>2026-10-25</x:v>
      </x:c>
      <x:c r="F12" s="34" t="str">
        <x:v>2026-10-30</x:v>
      </x:c>
      <x:c r="G12" s="34" t="str">
        <x:v>Completed</x:v>
      </x:c>
      <x:c r="H12" s="54" t="n">
        <x:v>1</x:v>
      </x:c>
      <x:c r="I12" s="34" t="str">
        <x:v>project-docs/phase-3/unit-4-readiness.md section 4</x:v>
      </x:c>
      <x:c r="J12" s="34" t="str">
        <x:v>Status, phase, reference code, invoice number, labour and the admin role now come from the same data in both apps. Tested 30 Oct.</x:v>
      </x:c>
    </x:row>
    <x:row r="13">
      <x:c r="A13" s="22" t="str">
        <x:v>P3-10</x:v>
      </x:c>
      <x:c r="B13" s="22" t="str">
        <x:v>SRS</x:v>
      </x:c>
      <x:c r="C13" s="22" t="str">
        <x:v>Implementation status, approved changes and known limitations updated</x:v>
      </x:c>
      <x:c r="D13" s="34" t="str">
        <x:v>Wisani Nkuna; Mathye MD (Denny); Ofentse Rammutla</x:v>
      </x:c>
      <x:c r="E13" s="34" t="str">
        <x:v>2026-10-29</x:v>
      </x:c>
      <x:c r="F13" s="34" t="str">
        <x:v>2026-10-30</x:v>
      </x:c>
      <x:c r="G13" s="34" t="str">
        <x:v>Completed</x:v>
      </x:c>
      <x:c r="H13" s="54" t="n">
        <x:v>1</x:v>
      </x:c>
      <x:c r="I13" s="34" t="str">
        <x:v>project-docs/phase-3/unit-4-readiness.md</x:v>
      </x:c>
      <x:c r="J13" s="34" t="str">
        <x:v>SRS v3.0 built 30 Oct: v2.2 plus Part C (implementation, requirement-to-function status, change log, limitations, GitHub link, MS Project screenshots). Handover record also in project-docs/phase-3.</x:v>
      </x:c>
    </x:row>
    <x:row r="14">
      <x:c r="A14" s="22" t="str">
        <x:v>P3-11</x:v>
      </x:c>
      <x:c r="B14" s="22" t="str">
        <x:v>Microsoft Project</x:v>
      </x:c>
      <x:c r="C14" s="22" t="str">
        <x:v>Schedule updated to reflect actual development progress</x:v>
      </x:c>
      <x:c r="D14" s="34" t="str">
        <x:v>Moremi KE (Khumo)</x:v>
      </x:c>
      <x:c r="E14" s="34" t="str">
        <x:v>2026-10-29</x:v>
      </x:c>
      <x:c r="F14" s="34"/>
      <x:c r="G14" s="34" t="str">
        <x:v>In Progress</x:v>
      </x:c>
      <x:c r="H14" s="54" t="n">
        <x:v>0.8</x:v>
      </x:c>
      <x:c r="I14" s="34" t="str">
        <x:v>project-docs/phase-3/schedule/</x:v>
      </x:c>
      <x:c r="J14" s="34" t="str">
        <x:v>Khumo's Phase 3 schedule (30 Oct) and two screenshots are in the repo and in the SRS. Still to do: mark finished tasks 100% so the bars show progress.</x:v>
      </x:c>
    </x:row>
    <x:row r="15">
      <x:c r="A15" s="22" t="str">
        <x:v>P3-12</x:v>
      </x:c>
      <x:c r="B15" s="22" t="str">
        <x:v>GitHub</x:v>
      </x:c>
      <x:c r="C15" s="22" t="str">
        <x:v>Current source code, README and relevant documentation organised</x:v>
      </x:c>
      <x:c r="D15" s="34" t="str">
        <x:v>Wisani Nkuna</x:v>
      </x:c>
      <x:c r="E15" s="34" t="str">
        <x:v>2026-10-29</x:v>
      </x:c>
      <x:c r="F15" s="34"/>
      <x:c r="G15" s="34" t="str">
        <x:v>In Progress</x:v>
      </x:c>
      <x:c r="H15" s="54" t="n">
        <x:v>0.9</x:v>
      </x:c>
      <x:c r="I15" s="34" t="str">
        <x:v>https://github.com/BlackZ3ro/Spanner-Riese-Auto-Clinic</x:v>
      </x:c>
      <x:c r="J15" s="34" t="str">
        <x:v>Setup steps for web, mobile and database in the handover record and web/README; submission ZIP built 30 Oct from main (PR #21). Mobile README still to check.</x:v>
      </x:c>
    </x:row>
    <x:row r="16">
      <x:c r="A16" s="22" t="str">
        <x:v>P3-13</x:v>
      </x:c>
      <x:c r="B16" s="22" t="str">
        <x:v>Final Demonstration</x:v>
      </x:c>
      <x:c r="C16" s="22" t="str">
        <x:v>Prototype and demonstration flow prepared for panel</x:v>
      </x:c>
      <x:c r="D16" s="34" t="str">
        <x:v>Everyone</x:v>
      </x:c>
      <x:c r="E16" s="34" t="str">
        <x:v>2026-10-31</x:v>
      </x:c>
      <x:c r="F16" s="34"/>
      <x:c r="G16" s="34" t="str">
        <x:v>In Progress</x:v>
      </x:c>
      <x:c r="H16" s="54" t="n">
        <x:v>0.5</x:v>
      </x:c>
      <x:c r="I16" s="34" t="str">
        <x:v>project-docs/phase-3/unit-4-readiness.md section 9</x:v>
      </x:c>
      <x:c r="J16" s="34" t="str">
        <x:v>Demo flow (P1, P2) defined; live system run end to end 30 Oct; group rehearsal Sat 31 Oct.</x:v>
      </x:c>
    </x:row>
    <x:row r="17">
      <x:c r="A17" s="22" t="str">
        <x:v>P3-14</x:v>
      </x:c>
      <x:c r="B17" s="22" t="str">
        <x:v>ASP.NET</x:v>
      </x:c>
      <x:c r="C17" s="22" t="str">
        <x:v>Send on WhatsApp: reference code and status updates to the customer (Mr G, 16 Oct)</x:v>
      </x:c>
      <x:c r="D17" s="34" t="str">
        <x:v>Wisani Nkuna</x:v>
      </x:c>
      <x:c r="E17" s="34" t="str">
        <x:v>2026-10-16</x:v>
      </x:c>
      <x:c r="F17" s="34" t="str">
        <x:v>2026-10-16</x:v>
      </x:c>
      <x:c r="G17" s="34" t="str">
        <x:v>Completed</x:v>
      </x:c>
      <x:c r="H17" s="54" t="n">
        <x:v>1</x:v>
      </x:c>
      <x:c r="I17" s="34" t="str">
        <x:v>web/Services/CustomerWhatsApp.cs</x:v>
      </x:c>
      <x:c r="J17" s="34" t="str">
        <x:v>Free click-to-chat link, no API key. Logic checked against 24 cases; run on the live site 30 Oct (w12 and whatsapp-message.txt).</x:v>
      </x:c>
    </x:row>
    <x:row r="18">
      <x:c r="A18" s="22" t="str">
        <x:v>P3-15</x:v>
      </x:c>
      <x:c r="B18" s="22" t="str">
        <x:v>Flutter</x:v>
      </x:c>
      <x:c r="C18" s="22" t="str">
        <x:v>Send on WhatsApp button in the mobile app</x:v>
      </x:c>
      <x:c r="D18" s="34" t="str">
        <x:v>Gary van Wyk</x:v>
      </x:c>
      <x:c r="E18" s="34" t="str">
        <x:v>2026-10-24</x:v>
      </x:c>
      <x:c r="F18" s="34" t="str">
        <x:v>2026-10-30</x:v>
      </x:c>
      <x:c r="G18" s="34" t="str">
        <x:v>Completed</x:v>
      </x:c>
      <x:c r="H18" s="54" t="n">
        <x:v>1</x:v>
      </x:c>
      <x:c r="I18" s="34" t="str">
        <x:v>mobile/lib (Gary upload 29-30 Oct)</x:v>
      </x:c>
      <x:c r="J18" s="34" t="str">
        <x:v>Gary built the send-reference sheet (url_launcher, wa.me); shown in screenshot m09 and checked 30 Oct.</x:v>
      </x:c>
    </x:row>
    <x:row r="19">
      <x:c r="A19" s="22" t="str">
        <x:v>P3-16</x:v>
      </x:c>
      <x:c r="B19" s="22" t="str">
        <x:v>Supabase Backend</x:v>
      </x:c>
      <x:c r="C19" s="22" t="str">
        <x:v>Run migrations 0009, 0004, 0010, 0011 and send the check-query results (0008 already live, confirmed 20 Oct)</x:v>
      </x:c>
      <x:c r="D19" s="34" t="str">
        <x:v>Gary van Wyk</x:v>
      </x:c>
      <x:c r="E19" s="34" t="str">
        <x:v>2026-10-21</x:v>
      </x:c>
      <x:c r="F19" s="34" t="str">
        <x:v>2026-10-30</x:v>
      </x:c>
      <x:c r="G19" s="34" t="str">
        <x:v>Completed</x:v>
      </x:c>
      <x:c r="H19" s="54" t="n">
        <x:v>1</x:v>
      </x:c>
      <x:c r="I19" s="34" t="str">
        <x:v>supabase/migrations</x:v>
      </x:c>
      <x:c r="J19" s="34" t="str">
        <x:v>Migrations run; group confirmed 30 Oct. Web add part and P2 no longer blocked.</x:v>
      </x:c>
    </x:row>
    <x:row r="20">
      <x:c r="A20" s="22" t="str">
        <x:v>P3-17</x:v>
      </x:c>
      <x:c r="B20" s="22" t="str">
        <x:v>Supabase Backend</x:v>
      </x:c>
      <x:c r="C20" s="22" t="str">
        <x:v>Migration 0011: finalize and reopen admin-only in the database</x:v>
      </x:c>
      <x:c r="D20" s="34" t="str">
        <x:v>Wisani Nkuna</x:v>
      </x:c>
      <x:c r="E20" s="34" t="str">
        <x:v>2026-10-18</x:v>
      </x:c>
      <x:c r="F20" s="34" t="str">
        <x:v>2026-10-18</x:v>
      </x:c>
      <x:c r="G20" s="34" t="str">
        <x:v>Completed</x:v>
      </x:c>
      <x:c r="H20" s="54" t="n">
        <x:v>1</x:v>
      </x:c>
      <x:c r="I20" s="34" t="str">
        <x:v>supabase/migrations/0011_finalize_reopen_admin_only.sql</x:v>
      </x:c>
      <x:c r="J20" s="34" t="str">
        <x:v>Tested on a local Postgres and live 30 Oct: mechanic update of a closed booking changes 0 rows, admin changes 1.</x:v>
      </x:c>
    </x:row>
    <x:row r="21">
      <x:c r="A21" s="22" t="str">
        <x:v>P3-18</x:v>
      </x:c>
      <x:c r="B21" s="22" t="str">
        <x:v>Supabase Backend</x:v>
      </x:c>
      <x:c r="C21" s="22" t="str">
        <x:v>Revoke the leaked Firebase service-account key</x:v>
      </x:c>
      <x:c r="D21" s="34" t="str">
        <x:v>Gary van Wyk</x:v>
      </x:c>
      <x:c r="E21" s="34" t="str">
        <x:v>2026-10-19</x:v>
      </x:c>
      <x:c r="F21" s="34"/>
      <x:c r="G21" s="34" t="str">
        <x:v>Not Started</x:v>
      </x:c>
      <x:c r="H21" s="54" t="n">
        <x:v>0</x:v>
      </x:c>
      <x:c r="I21" s="34"/>
      <x:c r="J21" s="34" t="str">
        <x:v>Still open. Gary re-uploaded the key file a third time; removed from the repo again 30 Oct but it stays in git history and the key is still valid until revoked in Google Cloud.</x:v>
      </x:c>
    </x:row>
    <x:row r="22">
      <x:c r="A22" s="22" t="str">
        <x:v>P3-19</x:v>
      </x:c>
      <x:c r="B22" s="22" t="str">
        <x:v>Integration</x:v>
      </x:c>
      <x:c r="C22" s="22" t="str">
        <x:v>Decide on one labour ledger (jobs vs booking_labor) and move the other app over</x:v>
      </x:c>
      <x:c r="D22" s="34" t="str">
        <x:v>Wisani Nkuna; Gary van Wyk</x:v>
      </x:c>
      <x:c r="E22" s="34" t="str">
        <x:v>2026-10-25</x:v>
      </x:c>
      <x:c r="F22" s="34" t="str">
        <x:v>2026-10-30</x:v>
      </x:c>
      <x:c r="G22" s="34" t="str">
        <x:v>Completed</x:v>
      </x:c>
      <x:c r="H22" s="54" t="n">
        <x:v>1</x:v>
      </x:c>
      <x:c r="I22" s="34" t="str">
        <x:v>web/Models/BookingLabor.cs; PR #21</x:v>
      </x:c>
      <x:c r="J22" s="34" t="str">
        <x:v>Decided 30 Oct: booking_labor is the one ledger. Web reads and writes it; job pages no longer hold labour. Tested live: R350 + R150 = R500.</x:v>
      </x:c>
    </x:row>
    <x:row r="23">
      <x:c r="A23" s="22" t="str">
        <x:v>P3-20</x:v>
      </x:c>
      <x:c r="B23" s="22" t="str">
        <x:v>ASP.NET</x:v>
      </x:c>
      <x:c r="C23" s="22" t="str">
        <x:v>Web reads the admin role from profiles (same as Flutter)</x:v>
      </x:c>
      <x:c r="D23" s="34" t="str">
        <x:v>Wisani Nkuna</x:v>
      </x:c>
      <x:c r="E23" s="34" t="str">
        <x:v>2026-10-25</x:v>
      </x:c>
      <x:c r="F23" s="34" t="str">
        <x:v>2026-10-30</x:v>
      </x:c>
      <x:c r="G23" s="34" t="str">
        <x:v>Completed</x:v>
      </x:c>
      <x:c r="H23" s="54" t="n">
        <x:v>1</x:v>
      </x:c>
      <x:c r="I23" s="34"/>
      <x:c r="J23" s="34" t="str">
        <x:v>Done 30 Oct: the website reads profiles.role at login (falls back to the email list only if the profile cannot be read).</x:v>
      </x:c>
    </x:row>
    <x:row r="24">
      <x:c r="A24" s="22" t="str">
        <x:v>P3-21</x:v>
      </x:c>
      <x:c r="B24" s="22" t="str">
        <x:v>ASP.NET</x:v>
      </x:c>
      <x:c r="C24" s="22" t="str">
        <x:v>Web app online on Vercel (riese-auto-clinic.vercel.app)</x:v>
      </x:c>
      <x:c r="D24" s="34" t="str">
        <x:v>Wisani Nkuna</x:v>
      </x:c>
      <x:c r="E24" s="34" t="str">
        <x:v>2026-10-20</x:v>
      </x:c>
      <x:c r="F24" s="34" t="str">
        <x:v>2026-10-20</x:v>
      </x:c>
      <x:c r="G24" s="34" t="str">
        <x:v>Completed</x:v>
      </x:c>
      <x:c r="H24" s="54" t="n">
        <x:v>1</x:v>
      </x:c>
      <x:c r="I24" s="34" t="str">
        <x:v>web/Dockerfile.vercel; project-docs/phase-3/hosting-on-vercel.md</x:v>
      </x:c>
      <x:c r="J24" s="34" t="str">
        <x:v>Live at https://riese-auto-clinic.vercel.app. Redeployed from main 30 Oct (PR #20, #21): dark look matching the phone app, labour from booking_labor. Mechanic sees no finalize/delete, admin does.</x:v>
      </x:c>
    </x:row>
    <x:row r="25">
      <x:c r="A25" s="22" t="str">
        <x:v>P3-22</x:v>
      </x:c>
      <x:c r="B25" s="22" t="str">
        <x:v>Flutter</x:v>
      </x:c>
      <x:c r="C25" s="22" t="str">
        <x:v>Flutter web build online on Vercel</x:v>
      </x:c>
      <x:c r="D25" s="34" t="str">
        <x:v>Gary van Wyk; Wisani Nkuna</x:v>
      </x:c>
      <x:c r="E25" s="34" t="str">
        <x:v>2026-10-25</x:v>
      </x:c>
      <x:c r="F25" s="34"/>
      <x:c r="G25" s="34" t="str">
        <x:v>In Progress</x:v>
      </x:c>
      <x:c r="H25" s="54" t="n">
        <x:v>0.5</x:v>
      </x:c>
      <x:c r="I25" s="34" t="str">
        <x:v>mobile/web (Flutter web platform files, 30 Oct)</x:v>
      </x:c>
      <x:c r="J25" s="34" t="str">
        <x:v>Web platform files and kIsWeb guard added and the app run at phone size 30 Oct. Not deployed to Vercel yet; screenshots come from the local web build.</x:v>
      </x:c>
    </x:row>
    <x:row r="26">
      <x:c r="A26" s="22" t="str">
        <x:v>P3-23</x:v>
      </x:c>
      <x:c r="B26" s="22" t="str">
        <x:v>Final Demonstration</x:v>
      </x:c>
      <x:c r="C26" s="22" t="str">
        <x:v>Acceptance visit with Michael Riese; Google Business Profile with him</x:v>
      </x:c>
      <x:c r="D26" s="34" t="str">
        <x:v>Mathye MD (Denny)</x:v>
      </x:c>
      <x:c r="E26" s="34" t="str">
        <x:v>2026-10-24</x:v>
      </x:c>
      <x:c r="F26" s="34"/>
      <x:c r="G26" s="34" t="str">
        <x:v>In Progress</x:v>
      </x:c>
      <x:c r="H26" s="54" t="n">
        <x:v>0.5</x:v>
      </x:c>
      <x:c r="I26" s="34" t="str">
        <x:v>project-docs/phase-2/google-business-profile.md</x:v>
      </x:c>
      <x:c r="J26" s="34" t="str">
        <x:v>Michael Riese confirmed the customer repair tracking (FR-14) on 30 Oct. Acceptance visit and Google Business Profile still to do with him.</x:v>
      </x:c>
    </x:row>
    <x:row r="27">
      <x:c r="A27" s="22" t="str">
        <x:v>P3-24</x:v>
      </x:c>
      <x:c r="B27" s="22" t="str">
        <x:v>Final Demonstration</x:v>
      </x:c>
      <x:c r="C27" s="22" t="str">
        <x:v>Screenshots of every web page and Flutter screen; recording of P1 and P2</x:v>
      </x:c>
      <x:c r="D27" s="34" t="str">
        <x:v>Ofentse Rammutla; Breyton Rossouw; Keamogetse Ogone Kgosi (Kea)</x:v>
      </x:c>
      <x:c r="E27" s="34" t="str">
        <x:v>2026-10-27</x:v>
      </x:c>
      <x:c r="F27" s="34" t="str">
        <x:v>2026-10-30</x:v>
      </x:c>
      <x:c r="G27" s="34" t="str">
        <x:v>In Progress</x:v>
      </x:c>
      <x:c r="H27" s="54" t="n">
        <x:v>0.95</x:v>
      </x:c>
      <x:c r="I27" s="34" t="str">
        <x:v>Implementation Evidence sheet</x:v>
      </x:c>
      <x:c r="J27" s="34" t="str">
        <x:v>30 Oct: 26 mobile and 16 web screenshots, 8-page PDF and README in project-docs/phase-3/evidence; w04, w12, w16 retaken on the live site after the labour change. Dummy data only, keys and other customers hidden. Still to do: recording of P1/P2 (Kea).</x:v>
      </x:c>
    </x:row>
    <x:row r="28">
      <x:c r="A28" s="22" t="str">
        <x:v>P3-25</x:v>
      </x:c>
      <x:c r="B28" s="22" t="str">
        <x:v>Flutter</x:v>
      </x:c>
      <x:c r="C28" s="22" t="str">
        <x:v>Pull-to-refresh on the bookings list and booking details (reload from Supabase)</x:v>
      </x:c>
      <x:c r="D28" s="34" t="str">
        <x:v>Gary van Wyk</x:v>
      </x:c>
      <x:c r="E28" s="34" t="str">
        <x:v>2026-10-24</x:v>
      </x:c>
      <x:c r="F28" s="34" t="str">
        <x:v>2026-10-30</x:v>
      </x:c>
      <x:c r="G28" s="34" t="str">
        <x:v>Completed</x:v>
      </x:c>
      <x:c r="H28" s="54" t="n">
        <x:v>1</x:v>
      </x:c>
      <x:c r="I28" s="34" t="str">
        <x:v>project-docs/phase-3/code-guide.md Part 2 Step 3</x:v>
      </x:c>
      <x:c r="J28" s="34" t="str">
        <x:v>Done 30 Oct: RefreshIndicator on the bookings list and the booking page; tested (a phase changed in the database showed after pulling down, m27).</x:v>
      </x:c>
    </x:row>
    <x:row r="29">
      <x:c r="A29" s="22"/>
      <x:c r="B29" s="22"/>
      <x:c r="C29" s="22"/>
      <x:c r="D29" s="34"/>
      <x:c r="E29" s="34"/>
      <x:c r="F29" s="34"/>
      <x:c r="G29" s="34"/>
      <x:c r="H29" s="54"/>
      <x:c r="I29" s="34"/>
      <x:c r="J29" s="34"/>
    </x:row>
    <x:row r="30">
      <x:c r="A30" s="22"/>
      <x:c r="B30" s="22"/>
      <x:c r="C30" s="22"/>
      <x:c r="D30" s="34"/>
      <x:c r="E30" s="34"/>
      <x:c r="F30" s="34"/>
      <x:c r="G30" s="34"/>
      <x:c r="H30" s="54"/>
      <x:c r="I30" s="34"/>
      <x:c r="J30" s="34"/>
    </x:row>
    <x:row r="31">
      <x:c r="A31" s="22"/>
      <x:c r="B31" s="22"/>
      <x:c r="C31" s="22"/>
      <x:c r="D31" s="34"/>
      <x:c r="E31" s="34"/>
      <x:c r="F31" s="34"/>
      <x:c r="G31" s="34"/>
      <x:c r="H31" s="54"/>
      <x:c r="I31" s="34"/>
      <x:c r="J31" s="34"/>
    </x:row>
    <x:row r="32">
      <x:c r="A32" s="22"/>
      <x:c r="B32" s="22"/>
      <x:c r="C32" s="22"/>
      <x:c r="D32" s="34"/>
      <x:c r="E32" s="34"/>
      <x:c r="F32" s="34"/>
      <x:c r="G32" s="34"/>
      <x:c r="H32" s="54"/>
      <x:c r="I32" s="34"/>
      <x:c r="J32" s="34"/>
    </x:row>
    <x:row r="33">
      <x:c r="A33" s="22"/>
      <x:c r="B33" s="22"/>
      <x:c r="C33" s="22"/>
      <x:c r="D33" s="34"/>
      <x:c r="E33" s="34"/>
      <x:c r="F33" s="34"/>
      <x:c r="G33" s="34"/>
      <x:c r="H33" s="54"/>
      <x:c r="I33" s="34"/>
      <x:c r="J33" s="34"/>
    </x:row>
  </x:sheetData>
  <x:mergeCells>
    <x:mergeCell ref="A1:J1"/>
  </x:mergeCells>
  <x:conditionalFormatting sqref="G4:G33">
    <x:cfRule type="expression" dxfId="0" priority="1">
      <x:formula>G4="Completed"</x:formula>
    </x:cfRule>
    <x:cfRule type="expression" dxfId="1" priority="2">
      <x:formula>G4="Blocked"</x:formula>
    </x:cfRule>
  </x:conditionalFormatting>
  <x:conditionalFormatting sqref="H4:H33">
    <x:cfRule type="dataBar" priority="3">
      <x:dataBar>
        <x:cfvo type="min"/>
        <x:cfvo type="max"/>
        <x:color rgb="FFA02B93"/>
      </x:dataBar>
      <x:extLst>
        <x:ext xmlns:x14="http://schemas.microsoft.com/office/spreadsheetml/2009/9/main" uri="{B025F937-C7B1-47D3-B67F-A62EFF666E3E}">
          <x14:id>{D7A4EB28-E7F8-4958-8D2A-D9D681754EC5}</x14:id>
        </x:ext>
      </x:extLst>
    </x:cfRule>
  </x:conditionalFormatting>
  <x:dataValidations count="1">
    <x:dataValidation type="list" sqref="G4:G33">
      <x:formula1>"Not Started,In Progress,Completed,Blocked"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D7A4EB28-E7F8-4958-8D2A-D9D681754EC5}">
            <x14:dataBar gradient="1">
              <x14:cfvo type="min"/>
              <x14:cfvo type="max"/>
              <x14:fillColor rgb="FFA02B93"/>
            </x14:dataBar>
          </x14:cfRule>
          <xm:sqref>H4:H33</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22" hidden="0" customWidth="1"/>
    <x:col min="4" max="4" width="28" hidden="0" customWidth="1"/>
    <x:col min="5" max="5" width="42" hidden="0" customWidth="1"/>
    <x:col min="6" max="6" width="15" hidden="0" customWidth="1"/>
    <x:col min="7" max="7" width="12" hidden="0" customWidth="1"/>
    <x:col min="8" max="8" width="36" hidden="0" customWidth="1"/>
    <x:col min="9" max="9" width="15" hidden="0" customWidth="1"/>
    <x:col min="10" max="10" width="15" hidden="0" customWidth="1"/>
    <x:col min="11" max="11" width="34" hidden="0" customWidth="1"/>
    <x:col min="12" max="12" width="16" hidden="0" customWidth="1"/>
  </x:cols>
  <x:sheetData>
    <x:row r="1" ht="34" customHeight="1">
      <x:c r="A1" s="5" t="str">
        <x:v>Phase 3 Individual Contributions</x:v>
      </x:c>
      <x:c r="B1" s="5"/>
      <x:c r="C1" s="5"/>
      <x:c r="D1" s="5"/>
      <x:c r="E1" s="5"/>
      <x:c r="F1" s="5"/>
      <x:c r="G1" s="5"/>
      <x:c r="H1" s="5"/>
      <x:c r="I1" s="5"/>
      <x:c r="J1" s="5"/>
      <x:c r="K1" s="5"/>
      <x:c r="L1" s="5"/>
    </x:row>
    <x:row r="3" ht="30" customHeight="1">
      <x:c r="A3" s="17" t="str">
        <x:v>Student Name</x:v>
      </x:c>
      <x:c r="B3" s="17" t="str">
        <x:v>Student Number</x:v>
      </x:c>
      <x:c r="C3" s="17" t="str">
        <x:v>Development Area</x:v>
      </x:c>
      <x:c r="D3" s="17" t="str">
        <x:v>Assigned Responsibility</x:v>
      </x:c>
      <x:c r="E3" s="17" t="str">
        <x:v>Work Personally Completed</x:v>
      </x:c>
      <x:c r="F3" s="17" t="str">
        <x:v>Date Completed</x:v>
      </x:c>
      <x:c r="G3" s="17" t="str">
        <x:v>Hours Spent</x:v>
      </x:c>
      <x:c r="H3" s="17" t="str">
        <x:v>Evidence / GitHub Link</x:v>
      </x:c>
      <x:c r="I3" s="17" t="str">
        <x:v>Verified by Group</x:v>
      </x:c>
      <x:c r="J3" s="17" t="str">
        <x:v>Verification Date</x:v>
      </x:c>
      <x:c r="K3" s="17" t="str">
        <x:v>Quality / Review Notes</x:v>
      </x:c>
      <x:c r="L3" s="17" t="str">
        <x:v>Contribution Status</x:v>
      </x:c>
    </x:row>
    <x:row r="4">
      <x:c r="A4" s="34" t="str">
        <x:v>Wisani Nkuna</x:v>
      </x:c>
      <x:c r="B4" s="34" t="str">
        <x:v>222010787</x:v>
      </x:c>
      <x:c r="C4" s="34" t="str">
        <x:v>ASP.NET</x:v>
      </x:c>
      <x:c r="D4" s="34" t="str">
        <x:v>Phase 2 feedback in the web app</x:v>
      </x:c>
      <x:c r="E4" s="34" t="str">
        <x:v>Send on WhatsApp button: reference code at book-in, status updates, thank-you with invoice number (web/Services/CustomerWhatsApp.cs, Pages/Bookings/Details)</x:v>
      </x:c>
      <x:c r="F4" s="34" t="str">
        <x:v>2026-10-16</x:v>
      </x:c>
      <x:c r="G4" s="34" t="str"/>
      <x:c r="H4" s="34" t="str">
        <x:v>web/Services/CustomerWhatsApp.cs</x:v>
      </x:c>
      <x:c r="I4" s="34" t="str">
        <x:v>No</x:v>
      </x:c>
      <x:c r="J4" s="34" t="str"/>
      <x:c r="K4" s="34" t="str"/>
      <x:c r="L4" s="34" t="str">
        <x:v>Completed</x:v>
      </x:c>
    </x:row>
    <x:row r="5">
      <x:c r="A5" s="34" t="str">
        <x:v>Wisani Nkuna</x:v>
      </x:c>
      <x:c r="B5" s="34" t="str">
        <x:v>222010787</x:v>
      </x:c>
      <x:c r="C5" s="34" t="str">
        <x:v>ASP.NET</x:v>
      </x:c>
      <x:c r="D5" s="34" t="str">
        <x:v>Phase 2 feedback (Mr G: Riese on Google)</x:v>
      </x:c>
      <x:c r="E5" s="34" t="str">
        <x:v>Riese titles and link-preview tags on public pages; Google Business Profile guide for Michael</x:v>
      </x:c>
      <x:c r="F5" s="34" t="str">
        <x:v>2026-10-16</x:v>
      </x:c>
      <x:c r="G5" s="34" t="str"/>
      <x:c r="H5" s="34" t="str">
        <x:v>project-docs/phase-2/google-business-profile.md</x:v>
      </x:c>
      <x:c r="I5" s="34" t="str">
        <x:v>No</x:v>
      </x:c>
      <x:c r="J5" s="34" t="str"/>
      <x:c r="K5" s="34" t="str"/>
      <x:c r="L5" s="34" t="str">
        <x:v>Completed</x:v>
      </x:c>
    </x:row>
    <x:row r="6">
      <x:c r="A6" s="34" t="str">
        <x:v>Wisani Nkuna</x:v>
      </x:c>
      <x:c r="B6" s="34" t="str">
        <x:v>222010787</x:v>
      </x:c>
      <x:c r="C6" s="34" t="str">
        <x:v>Supabase Backend</x:v>
      </x:c>
      <x:c r="D6" s="34" t="str">
        <x:v>Database access rules</x:v>
      </x:c>
      <x:c r="E6" s="34" t="str">
        <x:v>Migration 0010 (bookings.created_by) and 0011 (finalize/reopen admin-only), 0011 tested on a local Postgres</x:v>
      </x:c>
      <x:c r="F6" s="34" t="str">
        <x:v>2026-10-18</x:v>
      </x:c>
      <x:c r="G6" s="34" t="str"/>
      <x:c r="H6" s="34" t="str">
        <x:v>supabase/migrations/0010, 0011</x:v>
      </x:c>
      <x:c r="I6" s="34" t="str">
        <x:v>No</x:v>
      </x:c>
      <x:c r="J6" s="34" t="str"/>
      <x:c r="K6" s="34" t="str"/>
      <x:c r="L6" s="34" t="str">
        <x:v>Completed</x:v>
      </x:c>
    </x:row>
    <x:row r="7">
      <x:c r="A7" s="34" t="str">
        <x:v>Wisani Nkuna</x:v>
      </x:c>
      <x:c r="B7" s="34" t="str">
        <x:v>222010787</x:v>
      </x:c>
      <x:c r="C7" s="34" t="str">
        <x:v>ASP.NET</x:v>
      </x:c>
      <x:c r="D7" s="34" t="str">
        <x:v>Hosting</x:v>
      </x:c>
      <x:c r="E7" s="34" t="str">
        <x:v>Web app prepared for Vercel: Dockerfile.vercel, forwarded headers, Vercel project, hosting plan</x:v>
      </x:c>
      <x:c r="F7" s="34" t="str">
        <x:v>2026-10-17</x:v>
      </x:c>
      <x:c r="G7" s="34" t="str"/>
      <x:c r="H7" s="34" t="str">
        <x:v>web/Dockerfile.vercel; project-docs/phase-3/hosting-on-vercel.md</x:v>
      </x:c>
      <x:c r="I7" s="34" t="str">
        <x:v>No</x:v>
      </x:c>
      <x:c r="J7" s="34" t="str"/>
      <x:c r="K7" s="34" t="str"/>
      <x:c r="L7" s="34" t="str">
        <x:v>In Progress</x:v>
      </x:c>
    </x:row>
    <x:row r="8">
      <x:c r="A8" s="34" t="str">
        <x:v>Wisani Nkuna</x:v>
      </x:c>
      <x:c r="B8" s="34" t="str">
        <x:v>222010787</x:v>
      </x:c>
      <x:c r="C8" s="34" t="str">
        <x:v>Integration</x:v>
      </x:c>
      <x:c r="D8" s="34" t="str">
        <x:v>Phase 3 coordination</x:v>
      </x:c>
      <x:c r="E8" s="34" t="str">
        <x:v>Unit 4 readiness pack (functions, shared processes, consistency, roles, integration problems), Phase 3 plan, Gary handoff, this tracker</x:v>
      </x:c>
      <x:c r="F8" s="34" t="str">
        <x:v>2026-10-19</x:v>
      </x:c>
      <x:c r="G8" s="34" t="str"/>
      <x:c r="H8" s="34" t="str">
        <x:v>project-docs/phase-3/</x:v>
      </x:c>
      <x:c r="I8" s="34" t="str">
        <x:v>No</x:v>
      </x:c>
      <x:c r="J8" s="34" t="str"/>
      <x:c r="K8" s="34" t="str"/>
      <x:c r="L8" s="34" t="str">
        <x:v>Completed</x:v>
      </x:c>
    </x:row>
    <x:row r="9">
      <x:c r="A9" s="34" t="str">
        <x:v>Wisani Nkuna</x:v>
      </x:c>
      <x:c r="B9" s="34" t="str">
        <x:v>222010787</x:v>
      </x:c>
      <x:c r="C9" s="34" t="str">
        <x:v>Integration</x:v>
      </x:c>
      <x:c r="D9" s="34" t="str">
        <x:v>Live checks</x:v>
      </x:c>
      <x:c r="E9" s="34" t="str">
        <x:v>Ran the web app against the live Supabase project; checked access rules with the public key; fixed the wrong-password message; took the evidence screenshots</x:v>
      </x:c>
      <x:c r="F9" s="34" t="str">
        <x:v>2026-10-20</x:v>
      </x:c>
      <x:c r="G9" s="34" t="str"/>
      <x:c r="H9" s="34" t="str">
        <x:v>project-docs/phase-3/evidence/</x:v>
      </x:c>
      <x:c r="I9" s="34" t="str">
        <x:v>No</x:v>
      </x:c>
      <x:c r="J9" s="34" t="str"/>
      <x:c r="K9" s="34" t="str"/>
      <x:c r="L9" s="34" t="str">
        <x:v>Completed</x:v>
      </x:c>
    </x:row>
    <x:row r="10">
      <x:c r="A10" s="34" t="str">
        <x:v>Wisani Nkuna</x:v>
      </x:c>
      <x:c r="B10" s="34" t="str">
        <x:v>222010787</x:v>
      </x:c>
      <x:c r="C10" s="34" t="str">
        <x:v>ASP.NET</x:v>
      </x:c>
      <x:c r="D10" s="34" t="str">
        <x:v>Hosting</x:v>
      </x:c>
      <x:c r="E10" s="34" t="str">
        <x:v>Web app deployed on Vercel; fixed the login HTTP 400 (shared encryption key across containers); checked the live site with both staff accounts</x:v>
      </x:c>
      <x:c r="F10" s="34" t="str">
        <x:v>2026-10-20</x:v>
      </x:c>
      <x:c r="G10" s="34" t="str"/>
      <x:c r="H10" s="34" t="str">
        <x:v>web/Auth/FixedKeyRepository.cs; https://riese-auto-clinic.vercel.app</x:v>
      </x:c>
      <x:c r="I10" s="34" t="str">
        <x:v>No</x:v>
      </x:c>
      <x:c r="J10" s="34" t="str"/>
      <x:c r="K10" s="34" t="str"/>
      <x:c r="L10" s="34" t="str">
        <x:v>Completed</x:v>
      </x:c>
    </x:row>
    <x:row r="11">
      <x:c r="A11" s="34" t="str">
        <x:v>Wisani Nkuna</x:v>
      </x:c>
      <x:c r="B11" s="34" t="str">
        <x:v>222010787</x:v>
      </x:c>
      <x:c r="C11" s="34" t="str">
        <x:v>ASP.NET</x:v>
      </x:c>
      <x:c r="D11" s="34" t="str">
        <x:v>Restyle to match the mobile app</x:v>
      </x:c>
      <x:c r="E11" s="34" t="str">
        <x:v>Dark theme, four-step phase tracker, gold Finalize and outlined Delete buttons matching the Flutter app (PR #19)</x:v>
      </x:c>
      <x:c r="F11" s="34" t="str">
        <x:v>2026-10-28</x:v>
      </x:c>
      <x:c r="G11" s="34" t="str"/>
      <x:c r="H11" s="34" t="str">
        <x:v>web/wwwroot/css/site.css; web/Pages/Shared/_Layout.cshtml</x:v>
      </x:c>
      <x:c r="I11" s="34" t="str">
        <x:v>No</x:v>
      </x:c>
      <x:c r="J11" s="34" t="str"/>
      <x:c r="K11" s="34" t="str"/>
      <x:c r="L11" s="34" t="str">
        <x:v>Completed</x:v>
      </x:c>
    </x:row>
    <x:row r="12">
      <x:c r="A12" s="34" t="str">
        <x:v>Wisani Nkuna</x:v>
      </x:c>
      <x:c r="B12" s="34" t="str">
        <x:v>222010787</x:v>
      </x:c>
      <x:c r="C12" s="34" t="str">
        <x:v>Flutter</x:v>
      </x:c>
      <x:c r="D12" s="34" t="str">
        <x:v>Run Gary's mobile app</x:v>
      </x:c>
      <x:c r="E12" s="34" t="str">
        <x:v>Built and ran the Flutter app against the live project; added the web platform files and kIsWeb push guard, the missing logo asset; removed the dead home_screen.dart and the Firebase key file</x:v>
      </x:c>
      <x:c r="F12" s="34" t="str">
        <x:v>2026-10-30</x:v>
      </x:c>
      <x:c r="G12" s="34" t="str"/>
      <x:c r="H12" s="34" t="str">
        <x:v>mobile/ (PR #20)</x:v>
      </x:c>
      <x:c r="I12" s="34" t="str">
        <x:v>No</x:v>
      </x:c>
      <x:c r="J12" s="34" t="str"/>
      <x:c r="K12" s="34" t="str"/>
      <x:c r="L12" s="34" t="str">
        <x:v>Completed</x:v>
      </x:c>
    </x:row>
    <x:row r="13">
      <x:c r="A13" s="34" t="str">
        <x:v>Wisani Nkuna</x:v>
      </x:c>
      <x:c r="B13" s="34" t="str">
        <x:v>222010787</x:v>
      </x:c>
      <x:c r="C13" s="34" t="str">
        <x:v>Integration</x:v>
      </x:c>
      <x:c r="D13" s="34" t="str">
        <x:v>Evidence pack</x:v>
      </x:c>
      <x:c r="E13" s="34" t="str">
        <x:v>26 mobile and 16 web screenshots with dummy data, redacted, 8-page PDF and README; P1 and P2 shown in both directions</x:v>
      </x:c>
      <x:c r="F13" s="34" t="str">
        <x:v>2026-10-30</x:v>
      </x:c>
      <x:c r="G13" s="34" t="str"/>
      <x:c r="H13" s="34" t="str">
        <x:v>project-docs/phase-3/evidence/</x:v>
      </x:c>
      <x:c r="I13" s="34" t="str">
        <x:v>No</x:v>
      </x:c>
      <x:c r="J13" s="34" t="str"/>
      <x:c r="K13" s="34" t="str"/>
      <x:c r="L13" s="34" t="str">
        <x:v>Completed</x:v>
      </x:c>
    </x:row>
    <x:row r="14">
      <x:c r="A14" s="34" t="str">
        <x:v>Wisani Nkuna</x:v>
      </x:c>
      <x:c r="B14" s="34" t="str">
        <x:v>222010787</x:v>
      </x:c>
      <x:c r="C14" s="34" t="str">
        <x:v>Integration</x:v>
      </x:c>
      <x:c r="D14" s="34" t="str">
        <x:v>One labour ledger</x:v>
      </x:c>
      <x:c r="E14" s="34" t="str">
        <x:v>Decided booking_labor as the single ledger; website now reads and writes it; job pages no longer hold labour; tested live</x:v>
      </x:c>
      <x:c r="F14" s="34" t="str">
        <x:v>2026-10-30</x:v>
      </x:c>
      <x:c r="G14" s="34" t="str"/>
      <x:c r="H14" s="34" t="str">
        <x:v>web/Models/BookingLabor.cs; PR #21</x:v>
      </x:c>
      <x:c r="I14" s="34" t="str">
        <x:v>No</x:v>
      </x:c>
      <x:c r="J14" s="34" t="str"/>
      <x:c r="K14" s="34" t="str"/>
      <x:c r="L14" s="34" t="str">
        <x:v>Completed</x:v>
      </x:c>
    </x:row>
    <x:row r="15">
      <x:c r="A15" s="34" t="str">
        <x:v>Wisani Nkuna</x:v>
      </x:c>
      <x:c r="B15" s="34" t="str">
        <x:v>222010787</x:v>
      </x:c>
      <x:c r="C15" s="34" t="str">
        <x:v>SRS</x:v>
      </x:c>
      <x:c r="D15" s="34" t="str">
        <x:v>SRS v3.0, handover and submission</x:v>
      </x:c>
      <x:c r="E15" s="34" t="str">
        <x:v>SRS v3.0 Part C, final handover record, readiness tables, tracker and forms updated, submission ZIP</x:v>
      </x:c>
      <x:c r="F15" s="34" t="str">
        <x:v>2026-10-30</x:v>
      </x:c>
      <x:c r="G15" s="34" t="str"/>
      <x:c r="H15" s="34" t="str">
        <x:v>project-docs/phase-3/</x:v>
      </x:c>
      <x:c r="I15" s="34" t="str">
        <x:v>No</x:v>
      </x:c>
      <x:c r="J15" s="34" t="str"/>
      <x:c r="K15" s="34" t="str"/>
      <x:c r="L15" s="34" t="str">
        <x:v>Completed</x:v>
      </x:c>
    </x:row>
    <x:row r="16">
      <x:c r="A16" s="34" t="str">
        <x:v>Gary van Wyk</x:v>
      </x:c>
      <x:c r="B16" s="34" t="str">
        <x:v>222048911</x:v>
      </x:c>
      <x:c r="C16" s="34" t="str">
        <x:v>Flutter</x:v>
      </x:c>
      <x:c r="D16" s="34" t="str">
        <x:v>WhatsApp and biometric login</x:v>
      </x:c>
      <x:c r="E16" s="34" t="str">
        <x:v>Send reference code on WhatsApp sheet (url_launcher, wa.me), fingerprint login (local_auth, secure storage), edge function sends the reference code</x:v>
      </x:c>
      <x:c r="F16" s="34" t="str">
        <x:v>2026-10-30</x:v>
      </x:c>
      <x:c r="G16" s="34" t="str"/>
      <x:c r="H16" s="34" t="str">
        <x:v>mobile/lib (GitHub uploads 29-30 Oct)</x:v>
      </x:c>
      <x:c r="I16" s="34" t="str">
        <x:v>No</x:v>
      </x:c>
      <x:c r="J16" s="34" t="str"/>
      <x:c r="K16" s="34" t="str"/>
      <x:c r="L16" s="34" t="str">
        <x:v>Completed</x:v>
      </x:c>
    </x:row>
    <x:row r="17">
      <x:c r="A17" s="34" t="str">
        <x:v>Gary van Wyk</x:v>
      </x:c>
      <x:c r="B17" s="34" t="str">
        <x:v>222048911</x:v>
      </x:c>
      <x:c r="C17" s="34" t="str">
        <x:v>Supabase Backend</x:v>
      </x:c>
      <x:c r="D17" s="34" t="str">
        <x:v>Run migrations</x:v>
      </x:c>
      <x:c r="E17" s="34" t="str">
        <x:v>Ran migrations 0009 to 0011 on the shared project (confirmed by the group 30 Oct)</x:v>
      </x:c>
      <x:c r="F17" s="34" t="str">
        <x:v>2026-10-30</x:v>
      </x:c>
      <x:c r="G17" s="34" t="str"/>
      <x:c r="H17" s="34" t="str">
        <x:v>supabase/migrations</x:v>
      </x:c>
      <x:c r="I17" s="34" t="str">
        <x:v>No</x:v>
      </x:c>
      <x:c r="J17" s="34" t="str"/>
      <x:c r="K17" s="34" t="str"/>
      <x:c r="L17" s="34" t="str">
        <x:v>Completed</x:v>
      </x:c>
    </x:row>
    <x:row r="18">
      <x:c r="A18" s="34" t="str">
        <x:v>Wisani Nkuna</x:v>
      </x:c>
      <x:c r="B18" s="34" t="str">
        <x:v>222010787</x:v>
      </x:c>
      <x:c r="C18" s="34" t="str">
        <x:v>Integration</x:v>
      </x:c>
      <x:c r="D18" s="34" t="str">
        <x:v>Remove the last integration gaps</x:v>
      </x:c>
      <x:c r="E18" s="34" t="str">
        <x:v>Website admin role from profiles.role; phone add part through add_booking_part; pull-to-refresh on the phone lists and booking page; tested live</x:v>
      </x:c>
      <x:c r="F18" s="34" t="str">
        <x:v>2026-10-30</x:v>
      </x:c>
      <x:c r="G18" s="34" t="str"/>
      <x:c r="H18" s="34" t="str">
        <x:v>web/Auth/AdminAccess.cs; mobile/lib/features/bookings</x:v>
      </x:c>
      <x:c r="I18" s="34" t="str">
        <x:v>No</x:v>
      </x:c>
      <x:c r="J18" s="34" t="str"/>
      <x:c r="K18" s="34" t="str"/>
      <x:c r="L18" s="34" t="str">
        <x:v>Completed</x:v>
      </x:c>
    </x:row>
    <x:row r="19">
      <x:c r="A19" s="34" t="str"/>
      <x:c r="B19" s="34" t="str"/>
      <x:c r="C19" s="34" t="str"/>
      <x:c r="D19" s="34" t="str"/>
      <x:c r="E19" s="34" t="str"/>
      <x:c r="F19" s="34" t="str"/>
      <x:c r="G19" s="34" t="str"/>
      <x:c r="H19" s="34" t="str"/>
      <x:c r="I19" s="34" t="str">
        <x:v>No</x:v>
      </x:c>
      <x:c r="J19" s="34" t="str"/>
      <x:c r="K19" s="34" t="str"/>
      <x:c r="L19" s="34" t="str">
        <x:v>Not Started</x:v>
      </x:c>
    </x:row>
    <x:row r="20">
      <x:c r="A20" s="34" t="str"/>
      <x:c r="B20" s="34" t="str"/>
      <x:c r="C20" s="34" t="str"/>
      <x:c r="D20" s="34" t="str"/>
      <x:c r="E20" s="34" t="str"/>
      <x:c r="F20" s="34" t="str"/>
      <x:c r="G20" s="34" t="str"/>
      <x:c r="H20" s="34" t="str"/>
      <x:c r="I20" s="34" t="str">
        <x:v>No</x:v>
      </x:c>
      <x:c r="J20" s="34" t="str"/>
      <x:c r="K20" s="34" t="str"/>
      <x:c r="L20" s="34" t="str">
        <x:v>Not Started</x:v>
      </x:c>
    </x:row>
    <x:row r="21">
      <x:c r="A21" s="34" t="str"/>
      <x:c r="B21" s="34" t="str"/>
      <x:c r="C21" s="34" t="str"/>
      <x:c r="D21" s="34" t="str"/>
      <x:c r="E21" s="34" t="str"/>
      <x:c r="F21" s="34" t="str"/>
      <x:c r="G21" s="34" t="str"/>
      <x:c r="H21" s="34" t="str"/>
      <x:c r="I21" s="34" t="str">
        <x:v>No</x:v>
      </x:c>
      <x:c r="J21" s="34" t="str"/>
      <x:c r="K21" s="34" t="str"/>
      <x:c r="L21" s="34" t="str">
        <x:v>Not Started</x:v>
      </x:c>
    </x:row>
    <x:row r="22">
      <x:c r="A22" s="34" t="str"/>
      <x:c r="B22" s="34" t="str"/>
      <x:c r="C22" s="34" t="str"/>
      <x:c r="D22" s="34" t="str"/>
      <x:c r="E22" s="34" t="str"/>
      <x:c r="F22" s="34" t="str"/>
      <x:c r="G22" s="34" t="str"/>
      <x:c r="H22" s="34" t="str"/>
      <x:c r="I22" s="34" t="str">
        <x:v>No</x:v>
      </x:c>
      <x:c r="J22" s="34" t="str"/>
      <x:c r="K22" s="34" t="str"/>
      <x:c r="L22" s="34" t="str">
        <x:v>Not Started</x:v>
      </x:c>
    </x:row>
    <x:row r="23">
      <x:c r="A23" s="34" t="str"/>
      <x:c r="B23" s="34" t="str"/>
      <x:c r="C23" s="34" t="str"/>
      <x:c r="D23" s="34" t="str"/>
      <x:c r="E23" s="34" t="str"/>
      <x:c r="F23" s="34" t="str"/>
      <x:c r="G23" s="34" t="str"/>
      <x:c r="H23" s="34" t="str"/>
      <x:c r="I23" s="34" t="str">
        <x:v>No</x:v>
      </x:c>
      <x:c r="J23" s="34" t="str"/>
      <x:c r="K23" s="34" t="str"/>
      <x:c r="L23" s="34" t="str">
        <x:v>Not Started</x:v>
      </x:c>
    </x:row>
    <x:row r="24">
      <x:c r="A24" s="34" t="str"/>
      <x:c r="B24" s="34" t="str"/>
      <x:c r="C24" s="34" t="str"/>
      <x:c r="D24" s="34" t="str"/>
      <x:c r="E24" s="34" t="str"/>
      <x:c r="F24" s="34" t="str"/>
      <x:c r="G24" s="34" t="str"/>
      <x:c r="H24" s="34" t="str"/>
      <x:c r="I24" s="34" t="str">
        <x:v>No</x:v>
      </x:c>
      <x:c r="J24" s="34" t="str"/>
      <x:c r="K24" s="34" t="str"/>
      <x:c r="L24" s="34" t="str">
        <x:v>Not Started</x:v>
      </x:c>
    </x:row>
    <x:row r="25">
      <x:c r="A25" s="34" t="str"/>
      <x:c r="B25" s="34" t="str"/>
      <x:c r="C25" s="34" t="str"/>
      <x:c r="D25" s="34" t="str"/>
      <x:c r="E25" s="34" t="str"/>
      <x:c r="F25" s="34" t="str"/>
      <x:c r="G25" s="34" t="str"/>
      <x:c r="H25" s="34" t="str"/>
      <x:c r="I25" s="34" t="str">
        <x:v>No</x:v>
      </x:c>
      <x:c r="J25" s="34" t="str"/>
      <x:c r="K25" s="34" t="str"/>
      <x:c r="L25" s="34" t="str">
        <x:v>Not Started</x:v>
      </x:c>
    </x:row>
    <x:row r="26">
      <x:c r="A26" s="34" t="str"/>
      <x:c r="B26" s="34" t="str"/>
      <x:c r="C26" s="34" t="str"/>
      <x:c r="D26" s="34" t="str"/>
      <x:c r="E26" s="34" t="str"/>
      <x:c r="F26" s="34" t="str"/>
      <x:c r="G26" s="34" t="str"/>
      <x:c r="H26" s="34" t="str"/>
      <x:c r="I26" s="34" t="str">
        <x:v>No</x:v>
      </x:c>
      <x:c r="J26" s="34" t="str"/>
      <x:c r="K26" s="34" t="str"/>
      <x:c r="L26" s="34" t="str">
        <x:v>Not Started</x:v>
      </x:c>
    </x:row>
    <x:row r="27">
      <x:c r="A27" s="34" t="str"/>
      <x:c r="B27" s="34" t="str"/>
      <x:c r="C27" s="34" t="str"/>
      <x:c r="D27" s="34" t="str"/>
      <x:c r="E27" s="34" t="str"/>
      <x:c r="F27" s="34" t="str"/>
      <x:c r="G27" s="34" t="str"/>
      <x:c r="H27" s="34" t="str"/>
      <x:c r="I27" s="34" t="str">
        <x:v>No</x:v>
      </x:c>
      <x:c r="J27" s="34" t="str"/>
      <x:c r="K27" s="34" t="str"/>
      <x:c r="L27" s="34" t="str">
        <x:v>Not Started</x:v>
      </x:c>
    </x:row>
    <x:row r="28">
      <x:c r="A28" s="34" t="str"/>
      <x:c r="B28" s="34" t="str"/>
      <x:c r="C28" s="34" t="str"/>
      <x:c r="D28" s="34" t="str"/>
      <x:c r="E28" s="34" t="str"/>
      <x:c r="F28" s="34" t="str"/>
      <x:c r="G28" s="34" t="str"/>
      <x:c r="H28" s="34" t="str"/>
      <x:c r="I28" s="34" t="str">
        <x:v>No</x:v>
      </x:c>
      <x:c r="J28" s="34" t="str"/>
      <x:c r="K28" s="34" t="str"/>
      <x:c r="L28" s="34" t="str">
        <x:v>Not Started</x:v>
      </x:c>
    </x:row>
    <x:row r="29">
      <x:c r="A29" s="34" t="str"/>
      <x:c r="B29" s="34" t="str"/>
      <x:c r="C29" s="34" t="str"/>
      <x:c r="D29" s="34" t="str"/>
      <x:c r="E29" s="34" t="str"/>
      <x:c r="F29" s="34" t="str"/>
      <x:c r="G29" s="34" t="str"/>
      <x:c r="H29" s="34" t="str"/>
      <x:c r="I29" s="34" t="str">
        <x:v>No</x:v>
      </x:c>
      <x:c r="J29" s="34" t="str"/>
      <x:c r="K29" s="34" t="str"/>
      <x:c r="L29" s="34" t="str">
        <x:v>Not Started</x:v>
      </x:c>
    </x:row>
    <x:row r="30">
      <x:c r="A30" s="34" t="str"/>
      <x:c r="B30" s="34" t="str"/>
      <x:c r="C30" s="34" t="str"/>
      <x:c r="D30" s="34" t="str"/>
      <x:c r="E30" s="34" t="str"/>
      <x:c r="F30" s="34" t="str"/>
      <x:c r="G30" s="34" t="str"/>
      <x:c r="H30" s="34" t="str"/>
      <x:c r="I30" s="34" t="str">
        <x:v>No</x:v>
      </x:c>
      <x:c r="J30" s="34" t="str"/>
      <x:c r="K30" s="34" t="str"/>
      <x:c r="L30" s="34" t="str">
        <x:v>Not Started</x:v>
      </x:c>
    </x:row>
    <x:row r="31">
      <x:c r="A31" s="34" t="str"/>
      <x:c r="B31" s="34" t="str"/>
      <x:c r="C31" s="34" t="str"/>
      <x:c r="D31" s="34" t="str"/>
      <x:c r="E31" s="34" t="str"/>
      <x:c r="F31" s="34" t="str"/>
      <x:c r="G31" s="34" t="str"/>
      <x:c r="H31" s="34" t="str"/>
      <x:c r="I31" s="34" t="str">
        <x:v>No</x:v>
      </x:c>
      <x:c r="J31" s="34" t="str"/>
      <x:c r="K31" s="34" t="str"/>
      <x:c r="L31" s="34" t="str">
        <x:v>Not Started</x:v>
      </x:c>
    </x:row>
    <x:row r="32">
      <x:c r="A32" s="34" t="str"/>
      <x:c r="B32" s="34" t="str"/>
      <x:c r="C32" s="34" t="str"/>
      <x:c r="D32" s="34" t="str"/>
      <x:c r="E32" s="34" t="str"/>
      <x:c r="F32" s="34" t="str"/>
      <x:c r="G32" s="34" t="str"/>
      <x:c r="H32" s="34" t="str"/>
      <x:c r="I32" s="34" t="str">
        <x:v>No</x:v>
      </x:c>
      <x:c r="J32" s="34" t="str"/>
      <x:c r="K32" s="34" t="str"/>
      <x:c r="L32" s="34" t="str">
        <x:v>Not Started</x:v>
      </x:c>
    </x:row>
    <x:row r="33">
      <x:c r="A33" s="34" t="str"/>
      <x:c r="B33" s="34" t="str"/>
      <x:c r="C33" s="34" t="str"/>
      <x:c r="D33" s="34" t="str"/>
      <x:c r="E33" s="34" t="str"/>
      <x:c r="F33" s="34" t="str"/>
      <x:c r="G33" s="34" t="str"/>
      <x:c r="H33" s="34" t="str"/>
      <x:c r="I33" s="34" t="str">
        <x:v>No</x:v>
      </x:c>
      <x:c r="J33" s="34" t="str"/>
      <x:c r="K33" s="34" t="str"/>
      <x:c r="L33" s="34" t="str">
        <x:v>Not Started</x:v>
      </x:c>
    </x:row>
    <x:row r="34">
      <x:c r="A34" s="34" t="str"/>
      <x:c r="B34" s="34" t="str"/>
      <x:c r="C34" s="34" t="str"/>
      <x:c r="D34" s="34" t="str"/>
      <x:c r="E34" s="34" t="str"/>
      <x:c r="F34" s="34" t="str"/>
      <x:c r="G34" s="34" t="str"/>
      <x:c r="H34" s="34" t="str"/>
      <x:c r="I34" s="34" t="str">
        <x:v>No</x:v>
      </x:c>
      <x:c r="J34" s="34" t="str"/>
      <x:c r="K34" s="34" t="str"/>
      <x:c r="L34" s="34" t="str">
        <x:v>Not Started</x:v>
      </x:c>
    </x:row>
    <x:row r="35">
      <x:c r="A35" s="34" t="str"/>
      <x:c r="B35" s="34" t="str"/>
      <x:c r="C35" s="34" t="str"/>
      <x:c r="D35" s="34" t="str"/>
      <x:c r="E35" s="34" t="str"/>
      <x:c r="F35" s="34" t="str"/>
      <x:c r="G35" s="34" t="str"/>
      <x:c r="H35" s="34" t="str"/>
      <x:c r="I35" s="34" t="str">
        <x:v>No</x:v>
      </x:c>
      <x:c r="J35" s="34" t="str"/>
      <x:c r="K35" s="34" t="str"/>
      <x:c r="L35" s="34" t="str">
        <x:v>Not Started</x:v>
      </x:c>
    </x:row>
    <x:row r="36">
      <x:c r="A36" s="34" t="str"/>
      <x:c r="B36" s="34" t="str"/>
      <x:c r="C36" s="34" t="str"/>
      <x:c r="D36" s="34" t="str"/>
      <x:c r="E36" s="34" t="str"/>
      <x:c r="F36" s="34" t="str"/>
      <x:c r="G36" s="34" t="str"/>
      <x:c r="H36" s="34" t="str"/>
      <x:c r="I36" s="34" t="str">
        <x:v>No</x:v>
      </x:c>
      <x:c r="J36" s="34" t="str"/>
      <x:c r="K36" s="34" t="str"/>
      <x:c r="L36" s="34" t="str">
        <x:v>Not Started</x:v>
      </x:c>
    </x:row>
    <x:row r="37">
      <x:c r="A37" s="34" t="str"/>
      <x:c r="B37" s="34" t="str"/>
      <x:c r="C37" s="34" t="str"/>
      <x:c r="D37" s="34" t="str"/>
      <x:c r="E37" s="34" t="str"/>
      <x:c r="F37" s="34" t="str"/>
      <x:c r="G37" s="34" t="str"/>
      <x:c r="H37" s="34" t="str"/>
      <x:c r="I37" s="34" t="str">
        <x:v>No</x:v>
      </x:c>
      <x:c r="J37" s="34" t="str"/>
      <x:c r="K37" s="34" t="str"/>
      <x:c r="L37" s="34" t="str">
        <x:v>Not Started</x:v>
      </x:c>
    </x:row>
    <x:row r="38">
      <x:c r="A38" s="34" t="str"/>
      <x:c r="B38" s="34" t="str"/>
      <x:c r="C38" s="34" t="str"/>
      <x:c r="D38" s="34" t="str"/>
      <x:c r="E38" s="34" t="str"/>
      <x:c r="F38" s="34" t="str"/>
      <x:c r="G38" s="34" t="str"/>
      <x:c r="H38" s="34" t="str"/>
      <x:c r="I38" s="34" t="str">
        <x:v>No</x:v>
      </x:c>
      <x:c r="J38" s="34" t="str"/>
      <x:c r="K38" s="34" t="str"/>
      <x:c r="L38" s="34" t="str">
        <x:v>Not Started</x:v>
      </x:c>
    </x:row>
    <x:row r="39">
      <x:c r="A39" s="34" t="str"/>
      <x:c r="B39" s="34" t="str"/>
      <x:c r="C39" s="34" t="str"/>
      <x:c r="D39" s="34" t="str"/>
      <x:c r="E39" s="34" t="str"/>
      <x:c r="F39" s="34" t="str"/>
      <x:c r="G39" s="34" t="str"/>
      <x:c r="H39" s="34" t="str"/>
      <x:c r="I39" s="34" t="str">
        <x:v>No</x:v>
      </x:c>
      <x:c r="J39" s="34" t="str"/>
      <x:c r="K39" s="34" t="str"/>
      <x:c r="L39" s="34" t="str">
        <x:v>Not Started</x:v>
      </x:c>
    </x:row>
    <x:row r="40">
      <x:c r="A40" s="34" t="str"/>
      <x:c r="B40" s="34" t="str"/>
      <x:c r="C40" s="34" t="str"/>
      <x:c r="D40" s="34" t="str"/>
      <x:c r="E40" s="34" t="str"/>
      <x:c r="F40" s="34" t="str"/>
      <x:c r="G40" s="34" t="str"/>
      <x:c r="H40" s="34" t="str"/>
      <x:c r="I40" s="34" t="str">
        <x:v>No</x:v>
      </x:c>
      <x:c r="J40" s="34" t="str"/>
      <x:c r="K40" s="34" t="str"/>
      <x:c r="L40" s="34" t="str">
        <x:v>Not Started</x:v>
      </x:c>
    </x:row>
    <x:row r="41">
      <x:c r="A41" s="34" t="str"/>
      <x:c r="B41" s="34" t="str"/>
      <x:c r="C41" s="34" t="str"/>
      <x:c r="D41" s="34" t="str"/>
      <x:c r="E41" s="34" t="str"/>
      <x:c r="F41" s="34" t="str"/>
      <x:c r="G41" s="34" t="str"/>
      <x:c r="H41" s="34" t="str"/>
      <x:c r="I41" s="34" t="str">
        <x:v>No</x:v>
      </x:c>
      <x:c r="J41" s="34" t="str"/>
      <x:c r="K41" s="34" t="str"/>
      <x:c r="L41" s="34" t="str">
        <x:v>Not Started</x:v>
      </x:c>
    </x:row>
    <x:row r="42">
      <x:c r="A42" s="34" t="str"/>
      <x:c r="B42" s="34" t="str"/>
      <x:c r="C42" s="34" t="str"/>
      <x:c r="D42" s="34" t="str"/>
      <x:c r="E42" s="34" t="str"/>
      <x:c r="F42" s="34" t="str"/>
      <x:c r="G42" s="34" t="str"/>
      <x:c r="H42" s="34" t="str"/>
      <x:c r="I42" s="34" t="str">
        <x:v>No</x:v>
      </x:c>
      <x:c r="J42" s="34" t="str"/>
      <x:c r="K42" s="34" t="str"/>
      <x:c r="L42" s="34" t="str">
        <x:v>Not Started</x:v>
      </x:c>
    </x:row>
    <x:row r="43">
      <x:c r="A43" s="34" t="str"/>
      <x:c r="B43" s="34" t="str"/>
      <x:c r="C43" s="34" t="str"/>
      <x:c r="D43" s="34" t="str"/>
      <x:c r="E43" s="34" t="str"/>
      <x:c r="F43" s="34" t="str"/>
      <x:c r="G43" s="34" t="str"/>
      <x:c r="H43" s="34" t="str"/>
      <x:c r="I43" s="34" t="str">
        <x:v>No</x:v>
      </x:c>
      <x:c r="J43" s="34" t="str"/>
      <x:c r="K43" s="34" t="str"/>
      <x:c r="L43" s="34" t="str">
        <x:v>Not Started</x:v>
      </x:c>
    </x:row>
    <x:row r="44">
      <x:c r="A44" s="34" t="str"/>
      <x:c r="B44" s="34" t="str"/>
      <x:c r="C44" s="34" t="str"/>
      <x:c r="D44" s="34" t="str"/>
      <x:c r="E44" s="34" t="str"/>
      <x:c r="F44" s="34" t="str"/>
      <x:c r="G44" s="34" t="str"/>
      <x:c r="H44" s="34" t="str"/>
      <x:c r="I44" s="34" t="str">
        <x:v>No</x:v>
      </x:c>
      <x:c r="J44" s="34" t="str"/>
      <x:c r="K44" s="34" t="str"/>
      <x:c r="L44" s="34" t="str">
        <x:v>Not Started</x:v>
      </x:c>
    </x:row>
    <x:row r="45">
      <x:c r="A45" s="34" t="str"/>
      <x:c r="B45" s="34" t="str"/>
      <x:c r="C45" s="34" t="str"/>
      <x:c r="D45" s="34" t="str"/>
      <x:c r="E45" s="34" t="str"/>
      <x:c r="F45" s="34" t="str"/>
      <x:c r="G45" s="34" t="str"/>
      <x:c r="H45" s="34" t="str"/>
      <x:c r="I45" s="34" t="str">
        <x:v>No</x:v>
      </x:c>
      <x:c r="J45" s="34" t="str"/>
      <x:c r="K45" s="34" t="str"/>
      <x:c r="L45" s="34" t="str">
        <x:v>Not Started</x:v>
      </x:c>
    </x:row>
    <x:row r="46">
      <x:c r="A46" s="34" t="str"/>
      <x:c r="B46" s="34" t="str"/>
      <x:c r="C46" s="34" t="str"/>
      <x:c r="D46" s="34" t="str"/>
      <x:c r="E46" s="34" t="str"/>
      <x:c r="F46" s="34" t="str"/>
      <x:c r="G46" s="34" t="str"/>
      <x:c r="H46" s="34" t="str"/>
      <x:c r="I46" s="34" t="str">
        <x:v>No</x:v>
      </x:c>
      <x:c r="J46" s="34" t="str"/>
      <x:c r="K46" s="34" t="str"/>
      <x:c r="L46" s="34" t="str">
        <x:v>Not Started</x:v>
      </x:c>
    </x:row>
    <x:row r="47">
      <x:c r="A47" s="34" t="str"/>
      <x:c r="B47" s="34" t="str"/>
      <x:c r="C47" s="34" t="str"/>
      <x:c r="D47" s="34" t="str"/>
      <x:c r="E47" s="34" t="str"/>
      <x:c r="F47" s="34" t="str"/>
      <x:c r="G47" s="34" t="str"/>
      <x:c r="H47" s="34" t="str"/>
      <x:c r="I47" s="34" t="str">
        <x:v>No</x:v>
      </x:c>
      <x:c r="J47" s="34" t="str"/>
      <x:c r="K47" s="34" t="str"/>
      <x:c r="L47" s="34" t="str">
        <x:v>Not Started</x:v>
      </x:c>
    </x:row>
    <x:row r="48">
      <x:c r="A48" s="34" t="str"/>
      <x:c r="B48" s="34" t="str"/>
      <x:c r="C48" s="34" t="str"/>
      <x:c r="D48" s="34" t="str"/>
      <x:c r="E48" s="34" t="str"/>
      <x:c r="F48" s="34" t="str"/>
      <x:c r="G48" s="34" t="str"/>
      <x:c r="H48" s="34" t="str"/>
      <x:c r="I48" s="34" t="str">
        <x:v>No</x:v>
      </x:c>
      <x:c r="J48" s="34" t="str"/>
      <x:c r="K48" s="34" t="str"/>
      <x:c r="L48" s="34" t="str">
        <x:v>Not Started</x:v>
      </x:c>
    </x:row>
    <x:row r="49">
      <x:c r="A49" s="34" t="str"/>
      <x:c r="B49" s="34" t="str"/>
      <x:c r="C49" s="34" t="str"/>
      <x:c r="D49" s="34" t="str"/>
      <x:c r="E49" s="34" t="str"/>
      <x:c r="F49" s="34" t="str"/>
      <x:c r="G49" s="34" t="str"/>
      <x:c r="H49" s="34" t="str"/>
      <x:c r="I49" s="34" t="str">
        <x:v>No</x:v>
      </x:c>
      <x:c r="J49" s="34" t="str"/>
      <x:c r="K49" s="34" t="str"/>
      <x:c r="L49" s="34" t="str">
        <x:v>Not Started</x:v>
      </x:c>
    </x:row>
    <x:row r="50">
      <x:c r="A50" s="34" t="str"/>
      <x:c r="B50" s="34" t="str"/>
      <x:c r="C50" s="34" t="str"/>
      <x:c r="D50" s="34" t="str"/>
      <x:c r="E50" s="34" t="str"/>
      <x:c r="F50" s="34" t="str"/>
      <x:c r="G50" s="34" t="str"/>
      <x:c r="H50" s="34" t="str"/>
      <x:c r="I50" s="34" t="str">
        <x:v>No</x:v>
      </x:c>
      <x:c r="J50" s="34" t="str"/>
      <x:c r="K50" s="34" t="str"/>
      <x:c r="L50" s="34" t="str">
        <x:v>Not Started</x:v>
      </x:c>
    </x:row>
    <x:row r="51">
      <x:c r="A51" s="34" t="str"/>
      <x:c r="B51" s="34" t="str"/>
      <x:c r="C51" s="34" t="str"/>
      <x:c r="D51" s="34" t="str"/>
      <x:c r="E51" s="34" t="str"/>
      <x:c r="F51" s="34" t="str"/>
      <x:c r="G51" s="34" t="str"/>
      <x:c r="H51" s="34" t="str"/>
      <x:c r="I51" s="34" t="str">
        <x:v>No</x:v>
      </x:c>
      <x:c r="J51" s="34" t="str"/>
      <x:c r="K51" s="34" t="str"/>
      <x:c r="L51" s="34" t="str">
        <x:v>Not Started</x:v>
      </x:c>
    </x:row>
    <x:row r="52">
      <x:c r="A52" s="34" t="str"/>
      <x:c r="B52" s="34" t="str"/>
      <x:c r="C52" s="34" t="str"/>
      <x:c r="D52" s="34" t="str"/>
      <x:c r="E52" s="34" t="str"/>
      <x:c r="F52" s="34" t="str"/>
      <x:c r="G52" s="34" t="str"/>
      <x:c r="H52" s="34" t="str"/>
      <x:c r="I52" s="34" t="str">
        <x:v>No</x:v>
      </x:c>
      <x:c r="J52" s="34" t="str"/>
      <x:c r="K52" s="34" t="str"/>
      <x:c r="L52" s="34" t="str">
        <x:v>Not Started</x:v>
      </x:c>
    </x:row>
    <x:row r="53">
      <x:c r="A53" s="34" t="str"/>
      <x:c r="B53" s="34" t="str"/>
      <x:c r="C53" s="34" t="str"/>
      <x:c r="D53" s="34" t="str"/>
      <x:c r="E53" s="34" t="str"/>
      <x:c r="F53" s="34" t="str"/>
      <x:c r="G53" s="34" t="str"/>
      <x:c r="H53" s="34" t="str"/>
      <x:c r="I53" s="34" t="str">
        <x:v>No</x:v>
      </x:c>
      <x:c r="J53" s="34" t="str"/>
      <x:c r="K53" s="34" t="str"/>
      <x:c r="L53" s="34" t="str">
        <x:v>Not Started</x:v>
      </x:c>
    </x:row>
  </x:sheetData>
  <x:mergeCells>
    <x:mergeCell ref="A1:L1"/>
  </x:mergeCells>
  <x:conditionalFormatting sqref="L4:L53">
    <x:cfRule type="expression" dxfId="2" priority="1">
      <x:formula>L4="Completed"</x:formula>
    </x:cfRule>
  </x:conditionalFormatting>
  <x:dataValidations count="3">
    <x:dataValidation type="list" sqref="C4:C53">
      <x:formula1>"Supabase Backend,Flutter,ASP.NET,Integration,SRS,Microsoft Project,GitHub,Final Demonstration,Other"</x:formula1>
    </x:dataValidation>
    <x:dataValidation type="list" sqref="I4:I53">
      <x:formula1>"Yes,No"</x:formula1>
    </x:dataValidation>
    <x:dataValidation type="list" sqref="L4:L53">
      <x:formula1>"Not Started,In Progress,Completed,Blocked"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34" hidden="0" customWidth="1"/>
    <x:col min="5" max="5" width="34" hidden="0" customWidth="1"/>
    <x:col min="6" max="6" width="15" hidden="0" customWidth="1"/>
    <x:col min="7" max="7" width="24" hidden="0" customWidth="1"/>
    <x:col min="8" max="8" width="35" hidden="0" customWidth="1"/>
    <x:col min="9" max="9" width="34" hidden="0" customWidth="1"/>
  </x:cols>
  <x:sheetData>
    <x:row r="1" ht="34" customHeight="1">
      <x:c r="A1" s="5" t="str">
        <x:v>Phase 3 Shared Process and Integration Progress</x:v>
      </x:c>
      <x:c r="B1" s="5"/>
      <x:c r="C1" s="5"/>
      <x:c r="D1" s="5"/>
      <x:c r="E1" s="5"/>
      <x:c r="F1" s="5"/>
      <x:c r="G1" s="5"/>
      <x:c r="H1" s="5"/>
      <x:c r="I1" s="5"/>
    </x:row>
    <x:row r="3" ht="30" customHeight="1">
      <x:c r="A3" s="17" t="str">
        <x:v>Shared Process</x:v>
      </x:c>
      <x:c r="B3" s="17" t="str">
        <x:v>Related Requirement / Use Case</x:v>
      </x:c>
      <x:c r="C3" s="17" t="str">
        <x:v>Flutter Action</x:v>
      </x:c>
      <x:c r="D3" s="17" t="str">
        <x:v>ASP.NET Action</x:v>
      </x:c>
      <x:c r="E3" s="17" t="str">
        <x:v>Shared Supabase Information</x:v>
      </x:c>
      <x:c r="F3" s="17" t="str">
        <x:v>Current Status</x:v>
      </x:c>
      <x:c r="G3" s="17" t="str">
        <x:v>Responsible Student(s)</x:v>
      </x:c>
      <x:c r="H3" s="17" t="str">
        <x:v>Evidence / Link</x:v>
      </x:c>
      <x:c r="I3" s="17" t="str">
        <x:v>Notes / Limitation</x:v>
      </x:c>
    </x:row>
    <x:row r="4">
      <x:c r="A4" s="34" t="str">
        <x:v>P1: Book-in reaches the other app (both directions)</x:v>
      </x:c>
      <x:c r="B4" s="34" t="str">
        <x:v>FR-01, FR-04, FR-09; Book in a vehicle, Update booking</x:v>
      </x:c>
      <x:c r="C4" s="34" t="str">
        <x:v>Staff book in a vehicle; later open it and see the part added on the web, with stock reduced</x:v>
      </x:c>
      <x:c r="D4" s="34" t="str">
        <x:v>Booking appears on the dashboard; staff open it and add a part</x:v>
      </x:c>
      <x:c r="E4" s="34" t="str">
        <x:v>bookings, customers, booking_parts, stock_items, stock_movements</x:v>
      </x:c>
      <x:c r="F4" s="34" t="str">
        <x:v>Completed</x:v>
      </x:c>
      <x:c r="G4" s="34" t="str">
        <x:v>Wisani Nkuna; Gary van Wyk; Keamogetse Ogone Kgosi (Kea) (recording)</x:v>
      </x:c>
      <x:c r="H4" s="34" t="str">
        <x:v>project-docs/phase-3/evidence (m09-m16, w04, m24); recording pending (Kea)</x:v>
      </x:c>
      <x:c r="I4" s="34" t="str">
        <x:v>Shown working both directions 30 Oct. Both apps add a part through add_booking_part. Pull down on the phone to see web changes (m27).</x:v>
      </x:c>
    </x:row>
    <x:row r="5">
      <x:c r="A5" s="34" t="str">
        <x:v>P2: Repair progress reaches the customer</x:v>
      </x:c>
      <x:c r="B5" s="34" t="str">
        <x:v>FR-14, FR-15, FR-16; Track repair status, Update booking phase</x:v>
      </x:c>
      <x:c r="C5" s="34" t="str">
        <x:v>Customer enters the reference code and sees the phase (push on Android); staff can also change the phase</x:v>
      </x:c>
      <x:c r="D5" s="34" t="str">
        <x:v>Staff change the phase and Send on WhatsApp; /Track shows the phase</x:v>
      </x:c>
      <x:c r="E5" s="34" t="str">
        <x:v>bookings.phase, bookings.reference_code, booking_push_tokens</x:v>
      </x:c>
      <x:c r="F5" s="34" t="str">
        <x:v>Completed</x:v>
      </x:c>
      <x:c r="G5" s="34" t="str">
        <x:v>Wisani Nkuna; Gary van Wyk; Keamogetse Ogone Kgosi (Kea) (recording)</x:v>
      </x:c>
      <x:c r="H5" s="34" t="str">
        <x:v>project-docs/phase-3/evidence (w10, m17-m19, w14, whatsapp-message.txt); recording pending (Kea)</x:v>
      </x:c>
      <x:c r="I5" s="34" t="str">
        <x:v>Shown working both directions 30 Oct (0008 live). Push notification needs a real Android phone and was not tested.</x:v>
      </x:c>
    </x:row>
    <x:row r="6">
      <x:c r="A6" s="34" t="str">
        <x:v>P3: Parts and stock stay in step</x:v>
      </x:c>
      <x:c r="B6" s="34" t="str">
        <x:v>FR-03, FR-04, FR-10</x:v>
      </x:c>
      <x:c r="C6" s="34" t="str">
        <x:v>Mechanic adds a part to a booking; stock drops</x:v>
      </x:c>
      <x:c r="D6" s="34" t="str">
        <x:v>Stock page shows the new quantity; part is on the web invoice</x:v>
      </x:c>
      <x:c r="E6" s="34" t="str">
        <x:v>booking_parts, stock_items, stock_movements</x:v>
      </x:c>
      <x:c r="F6" s="34" t="str">
        <x:v>Completed</x:v>
      </x:c>
      <x:c r="G6" s="34" t="str">
        <x:v>Gary van Wyk; Wisani Nkuna</x:v>
      </x:c>
      <x:c r="H6" s="34" t="str"/>
      <x:c r="I6" s="34" t="str">
        <x:v>Phone and web show the same stock (m23, w06; 3 to 2 when the part was added, back to 3 after the test booking was deleted). Both apps add parts through add_booking_part.</x:v>
      </x:c>
    </x:row>
    <x:row r="7">
      <x:c r="A7" s="34" t="str">
        <x:v>P4: Admin closes the job</x:v>
      </x:c>
      <x:c r="B7" s="34" t="str">
        <x:v>FR-07, FR-17</x:v>
      </x:c>
      <x:c r="C7" s="34" t="str">
        <x:v>Booking shows as closed; customer sees "Finalized"</x:v>
      </x:c>
      <x:c r="D7" s="34" t="str">
        <x:v>Admin finalizes the booking; invoice PDF</x:v>
      </x:c>
      <x:c r="E7" s="34" t="str">
        <x:v>bookings.status, bookings.phase, bookings.closed_at</x:v>
      </x:c>
      <x:c r="F7" s="34" t="str">
        <x:v>Completed</x:v>
      </x:c>
      <x:c r="G7" s="34" t="str">
        <x:v>Wisani Nkuna; Gary van Wyk</x:v>
      </x:c>
      <x:c r="H7" s="34" t="str"/>
      <x:c r="I7" s="34" t="str">
        <x:v>Same values in both apps; finalize, reopen and delete admin-only in the database (0007, 0011): mechanic refused (m26, w15).</x:v>
      </x:c>
    </x:row>
    <x:row r="8">
      <x:c r="A8" s="34" t="str"/>
      <x:c r="B8" s="34" t="str"/>
      <x:c r="C8" s="34" t="str"/>
      <x:c r="D8" s="34" t="str"/>
      <x:c r="E8" s="34" t="str"/>
      <x:c r="F8" s="34" t="str">
        <x:v>Not Started</x:v>
      </x:c>
      <x:c r="G8" s="34" t="str"/>
      <x:c r="H8" s="34" t="str"/>
      <x:c r="I8" s="34" t="str"/>
    </x:row>
    <x:row r="9">
      <x:c r="A9" s="34" t="str"/>
      <x:c r="B9" s="34" t="str"/>
      <x:c r="C9" s="34" t="str"/>
      <x:c r="D9" s="34" t="str"/>
      <x:c r="E9" s="34" t="str"/>
      <x:c r="F9" s="34" t="str">
        <x:v>Not Started</x:v>
      </x:c>
      <x:c r="G9" s="34" t="str"/>
      <x:c r="H9" s="34" t="str"/>
      <x:c r="I9" s="34" t="str"/>
    </x:row>
    <x:row r="10">
      <x:c r="A10" s="34" t="str"/>
      <x:c r="B10" s="34" t="str"/>
      <x:c r="C10" s="34" t="str"/>
      <x:c r="D10" s="34" t="str"/>
      <x:c r="E10" s="34" t="str"/>
      <x:c r="F10" s="34" t="str">
        <x:v>Not Started</x:v>
      </x:c>
      <x:c r="G10" s="34" t="str"/>
      <x:c r="H10" s="34" t="str"/>
      <x:c r="I10" s="34" t="str"/>
    </x:row>
    <x:row r="11">
      <x:c r="A11" s="34" t="str"/>
      <x:c r="B11" s="34" t="str"/>
      <x:c r="C11" s="34" t="str"/>
      <x:c r="D11" s="34" t="str"/>
      <x:c r="E11" s="34" t="str"/>
      <x:c r="F11" s="34" t="str">
        <x:v>Not Started</x:v>
      </x:c>
      <x:c r="G11" s="34" t="str"/>
      <x:c r="H11" s="34" t="str"/>
      <x:c r="I11" s="34" t="str"/>
    </x:row>
    <x:row r="12">
      <x:c r="A12" s="34" t="str"/>
      <x:c r="B12" s="34" t="str"/>
      <x:c r="C12" s="34" t="str"/>
      <x:c r="D12" s="34" t="str"/>
      <x:c r="E12" s="34" t="str"/>
      <x:c r="F12" s="34" t="str">
        <x:v>Not Started</x:v>
      </x:c>
      <x:c r="G12" s="34" t="str"/>
      <x:c r="H12" s="34" t="str"/>
      <x:c r="I12" s="34" t="str"/>
    </x:row>
    <x:row r="13">
      <x:c r="A13" s="34" t="str"/>
      <x:c r="B13" s="34" t="str"/>
      <x:c r="C13" s="34" t="str"/>
      <x:c r="D13" s="34" t="str"/>
      <x:c r="E13" s="34" t="str"/>
      <x:c r="F13" s="34" t="str">
        <x:v>Not Started</x:v>
      </x:c>
      <x:c r="G13" s="34" t="str"/>
      <x:c r="H13" s="34" t="str"/>
      <x:c r="I13" s="34" t="str"/>
    </x:row>
    <x:row r="14">
      <x:c r="A14" s="34" t="str"/>
      <x:c r="B14" s="34" t="str"/>
      <x:c r="C14" s="34" t="str"/>
      <x:c r="D14" s="34" t="str"/>
      <x:c r="E14" s="34" t="str"/>
      <x:c r="F14" s="34" t="str">
        <x:v>Not Started</x:v>
      </x:c>
      <x:c r="G14" s="34" t="str"/>
      <x:c r="H14" s="34" t="str"/>
      <x:c r="I14" s="34" t="str"/>
    </x:row>
    <x:row r="15">
      <x:c r="A15" s="34" t="str"/>
      <x:c r="B15" s="34" t="str"/>
      <x:c r="C15" s="34" t="str"/>
      <x:c r="D15" s="34" t="str"/>
      <x:c r="E15" s="34" t="str"/>
      <x:c r="F15" s="34" t="str">
        <x:v>Not Started</x:v>
      </x:c>
      <x:c r="G15" s="34" t="str"/>
      <x:c r="H15" s="34" t="str"/>
      <x:c r="I15" s="34" t="str"/>
    </x:row>
    <x:row r="16">
      <x:c r="A16" s="34" t="str"/>
      <x:c r="B16" s="34" t="str"/>
      <x:c r="C16" s="34" t="str"/>
      <x:c r="D16" s="34" t="str"/>
      <x:c r="E16" s="34" t="str"/>
      <x:c r="F16" s="34" t="str">
        <x:v>Not Started</x:v>
      </x:c>
      <x:c r="G16" s="34" t="str"/>
      <x:c r="H16" s="34" t="str"/>
      <x:c r="I16" s="34" t="str"/>
    </x:row>
    <x:row r="17">
      <x:c r="A17" s="34" t="str"/>
      <x:c r="B17" s="34" t="str"/>
      <x:c r="C17" s="34" t="str"/>
      <x:c r="D17" s="34" t="str"/>
      <x:c r="E17" s="34" t="str"/>
      <x:c r="F17" s="34" t="str">
        <x:v>Not Started</x:v>
      </x:c>
      <x:c r="G17" s="34" t="str"/>
      <x:c r="H17" s="34" t="str"/>
      <x:c r="I17" s="34" t="str"/>
    </x:row>
    <x:row r="18">
      <x:c r="A18" s="34" t="str"/>
      <x:c r="B18" s="34" t="str"/>
      <x:c r="C18" s="34" t="str"/>
      <x:c r="D18" s="34" t="str"/>
      <x:c r="E18" s="34" t="str"/>
      <x:c r="F18" s="34" t="str">
        <x:v>Not Started</x:v>
      </x:c>
      <x:c r="G18" s="34" t="str"/>
      <x:c r="H18" s="34" t="str"/>
      <x:c r="I18" s="34" t="str"/>
    </x:row>
    <x:row r="19">
      <x:c r="A19" s="34" t="str"/>
      <x:c r="B19" s="34" t="str"/>
      <x:c r="C19" s="34" t="str"/>
      <x:c r="D19" s="34" t="str"/>
      <x:c r="E19" s="34" t="str"/>
      <x:c r="F19" s="34" t="str">
        <x:v>Not Started</x:v>
      </x:c>
      <x:c r="G19" s="34" t="str"/>
      <x:c r="H19" s="34" t="str"/>
      <x:c r="I19" s="34" t="str"/>
    </x:row>
    <x:row r="20">
      <x:c r="A20" s="34" t="str"/>
      <x:c r="B20" s="34" t="str"/>
      <x:c r="C20" s="34" t="str"/>
      <x:c r="D20" s="34" t="str"/>
      <x:c r="E20" s="34" t="str"/>
      <x:c r="F20" s="34" t="str">
        <x:v>Not Started</x:v>
      </x:c>
      <x:c r="G20" s="34" t="str"/>
      <x:c r="H20" s="34" t="str"/>
      <x:c r="I20" s="34" t="str"/>
    </x:row>
    <x:row r="21">
      <x:c r="A21" s="34" t="str"/>
      <x:c r="B21" s="34" t="str"/>
      <x:c r="C21" s="34" t="str"/>
      <x:c r="D21" s="34" t="str"/>
      <x:c r="E21" s="34" t="str"/>
      <x:c r="F21" s="34" t="str">
        <x:v>Not Started</x:v>
      </x:c>
      <x:c r="G21" s="34" t="str"/>
      <x:c r="H21" s="34" t="str"/>
      <x:c r="I21" s="34" t="str"/>
    </x:row>
    <x:row r="22">
      <x:c r="A22" s="34" t="str"/>
      <x:c r="B22" s="34" t="str"/>
      <x:c r="C22" s="34" t="str"/>
      <x:c r="D22" s="34" t="str"/>
      <x:c r="E22" s="34" t="str"/>
      <x:c r="F22" s="34" t="str">
        <x:v>Not Started</x:v>
      </x:c>
      <x:c r="G22" s="34" t="str"/>
      <x:c r="H22" s="34" t="str"/>
      <x:c r="I22" s="34" t="str"/>
    </x:row>
    <x:row r="23">
      <x:c r="A23" s="34" t="str"/>
      <x:c r="B23" s="34" t="str"/>
      <x:c r="C23" s="34" t="str"/>
      <x:c r="D23" s="34" t="str"/>
      <x:c r="E23" s="34" t="str"/>
      <x:c r="F23" s="34" t="str">
        <x:v>Not Started</x:v>
      </x:c>
      <x:c r="G23" s="34" t="str"/>
      <x:c r="H23" s="34" t="str"/>
      <x:c r="I23" s="34" t="str"/>
    </x:row>
  </x:sheetData>
  <x:mergeCells>
    <x:mergeCell ref="A1:I1"/>
  </x:mergeCells>
  <x:conditionalFormatting sqref="F4:F23">
    <x:cfRule type="expression" dxfId="3" priority="1">
      <x:formula>F4="Completed"</x:formula>
    </x:cfRule>
    <x:cfRule type="expression" dxfId="4" priority="2">
      <x:formula>F4="Blocked"</x:formula>
    </x:cfRule>
  </x:conditionalFormatting>
  <x:dataValidations count="1">
    <x:dataValidation type="list" sqref="F4:F23">
      <x:formula1>"Not Started,In Progress,Completed,Blocked"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34" hidden="0" customWidth="1"/>
    <x:col min="4" max="4" width="22" hidden="0" customWidth="1"/>
    <x:col min="5" max="5" width="40" hidden="0" customWidth="1"/>
    <x:col min="6" max="6" width="28" hidden="0" customWidth="1"/>
    <x:col min="7" max="7" width="23" hidden="0" customWidth="1"/>
    <x:col min="8" max="8" width="32" hidden="0" customWidth="1"/>
  </x:cols>
  <x:sheetData>
    <x:row r="1" ht="34" customHeight="1">
      <x:c r="A1" s="5" t="str">
        <x:v>Phase 3 Implementation Evidence</x:v>
      </x:c>
      <x:c r="B1" s="5"/>
      <x:c r="C1" s="5"/>
      <x:c r="D1" s="5"/>
      <x:c r="E1" s="5"/>
      <x:c r="F1" s="5"/>
      <x:c r="G1" s="5"/>
      <x:c r="H1" s="5"/>
    </x:row>
    <x:row r="3" ht="30" customHeight="1">
      <x:c r="A3" s="17" t="str">
        <x:v>Evidence ID</x:v>
      </x:c>
      <x:c r="B3" s="17" t="str">
        <x:v>Application / Area</x:v>
      </x:c>
      <x:c r="C3" s="17" t="str">
        <x:v>Function / Feature</x:v>
      </x:c>
      <x:c r="D3" s="17" t="str">
        <x:v>Evidence Type</x:v>
      </x:c>
      <x:c r="E3" s="17" t="str">
        <x:v>Evidence / Link / File</x:v>
      </x:c>
      <x:c r="F3" s="17" t="str">
        <x:v>Related SRS Requirement</x:v>
      </x:c>
      <x:c r="G3" s="17" t="str">
        <x:v>Responsible Student</x:v>
      </x:c>
      <x:c r="H3" s="17" t="str">
        <x:v>Notes</x:v>
      </x:c>
    </x:row>
    <x:row r="4">
      <x:c r="A4" s="34" t="str">
        <x:v>E-01</x:v>
      </x:c>
      <x:c r="B4" s="34" t="str">
        <x:v>ASP.NET</x:v>
      </x:c>
      <x:c r="C4" s="34" t="str">
        <x:v>Send on WhatsApp</x:v>
      </x:c>
      <x:c r="D4" s="34" t="str">
        <x:v>GitHub Commit/PR</x:v>
      </x:c>
      <x:c r="E4" s="34" t="str">
        <x:v>web/Services/CustomerWhatsApp.cs; web/Pages/Bookings/Details.cshtml</x:v>
      </x:c>
      <x:c r="F4" s="34" t="str">
        <x:v>Mr G feedback, FR-14</x:v>
      </x:c>
      <x:c r="G4" s="34" t="str">
        <x:v>Wisani Nkuna</x:v>
      </x:c>
      <x:c r="H4" s="34" t="str">
        <x:v>Phone, message and link logic checked against 24 cases; run on the live site 30 Oct (w12, whatsapp-message.txt).</x:v>
      </x:c>
    </x:row>
    <x:row r="5">
      <x:c r="A5" s="34" t="str">
        <x:v>E-02</x:v>
      </x:c>
      <x:c r="B5" s="34" t="str">
        <x:v>Supabase Backend</x:v>
      </x:c>
      <x:c r="C5" s="34" t="str">
        <x:v>Finalize/reopen admin-only (0011)</x:v>
      </x:c>
      <x:c r="D5" s="34" t="str">
        <x:v>GitHub Commit/PR</x:v>
      </x:c>
      <x:c r="E5" s="34" t="str">
        <x:v>supabase/migrations/0011_finalize_reopen_admin_only.sql</x:v>
      </x:c>
      <x:c r="F5" s="34" t="str">
        <x:v>FR-17</x:v>
      </x:c>
      <x:c r="G5" s="34" t="str">
        <x:v>Wisani Nkuna</x:v>
      </x:c>
      <x:c r="H5" s="34" t="str">
        <x:v>Tested on a local Postgres 18 Oct; live 30 Oct: mechanic update of a closed booking changes 0 rows, admin changes 1.</x:v>
      </x:c>
    </x:row>
    <x:row r="6">
      <x:c r="A6" s="34" t="str">
        <x:v>E-03</x:v>
      </x:c>
      <x:c r="B6" s="34" t="str">
        <x:v>Integration</x:v>
      </x:c>
      <x:c r="C6" s="34" t="str">
        <x:v>Functions, shared processes, consistency and roles tables</x:v>
      </x:c>
      <x:c r="D6" s="34" t="str">
        <x:v>SRS Section</x:v>
      </x:c>
      <x:c r="E6" s="34" t="str">
        <x:v>project-docs/phase-3/unit-4-readiness.md</x:v>
      </x:c>
      <x:c r="F6" s="34" t="str">
        <x:v>FR-01 to FR-18</x:v>
      </x:c>
      <x:c r="G6" s="34" t="str">
        <x:v>Wisani Nkuna</x:v>
      </x:c>
      <x:c r="H6" s="34" t="str">
        <x:v>Copied into SRS v3.0 Part C (30 Oct).</x:v>
      </x:c>
    </x:row>
    <x:row r="7">
      <x:c r="A7" s="34" t="str">
        <x:v>E-04</x:v>
      </x:c>
      <x:c r="B7" s="34" t="str">
        <x:v>ASP.NET</x:v>
      </x:c>
      <x:c r="C7" s="34" t="str">
        <x:v>Web app hosting on Vercel</x:v>
      </x:c>
      <x:c r="D7" s="34" t="str">
        <x:v>GitHub Commit/PR</x:v>
      </x:c>
      <x:c r="E7" s="34" t="str">
        <x:v>web/Dockerfile.vercel; project-docs/phase-3/hosting-on-vercel.md</x:v>
      </x:c>
      <x:c r="F7" s="34" t="str">
        <x:v>NFR-06</x:v>
      </x:c>
      <x:c r="G7" s="34" t="str">
        <x:v>Wisani Nkuna</x:v>
      </x:c>
      <x:c r="H7" s="34" t="str">
        <x:v>Live at https://riese-auto-clinic.vercel.app, redeployed from main 30 Oct.</x:v>
      </x:c>
    </x:row>
    <x:row r="8">
      <x:c r="A8" s="34" t="str">
        <x:v>E-05</x:v>
      </x:c>
      <x:c r="B8" s="34" t="str">
        <x:v>ASP.NET</x:v>
      </x:c>
      <x:c r="C8" s="34" t="str">
        <x:v>Screenshots of every web page</x:v>
      </x:c>
      <x:c r="D8" s="34" t="str">
        <x:v>Screenshot</x:v>
      </x:c>
      <x:c r="E8" s="34" t="str">
        <x:v>project-docs/phase-3/evidence/web (16 screenshots, 30 Oct)</x:v>
      </x:c>
      <x:c r="F8" s="34" t="str">
        <x:v>FR-01 to FR-18</x:v>
      </x:c>
      <x:c r="G8" s="34" t="str">
        <x:v>Ofentse Rammutla</x:v>
      </x:c>
      <x:c r="H8" s="34" t="str">
        <x:v>Dummy data only.</x:v>
      </x:c>
    </x:row>
    <x:row r="9">
      <x:c r="A9" s="34" t="str">
        <x:v>E-06</x:v>
      </x:c>
      <x:c r="B9" s="34" t="str">
        <x:v>Flutter</x:v>
      </x:c>
      <x:c r="C9" s="34" t="str">
        <x:v>Screenshots of every mobile screen</x:v>
      </x:c>
      <x:c r="D9" s="34" t="str">
        <x:v>Screenshot</x:v>
      </x:c>
      <x:c r="E9" s="34" t="str">
        <x:v>project-docs/phase-3/evidence/mobile (26 screenshots, 30 Oct)</x:v>
      </x:c>
      <x:c r="F9" s="34" t="str">
        <x:v>FR-01 to FR-18</x:v>
      </x:c>
      <x:c r="G9" s="34" t="str">
        <x:v>Breyton Rossouw</x:v>
      </x:c>
      <x:c r="H9" s="34" t="str">
        <x:v>Dummy data only.</x:v>
      </x:c>
    </x:row>
    <x:row r="10">
      <x:c r="A10" s="34" t="str">
        <x:v>E-07</x:v>
      </x:c>
      <x:c r="B10" s="34" t="str">
        <x:v>Integration</x:v>
      </x:c>
      <x:c r="C10" s="34" t="str">
        <x:v>Recording of shared processes P1 and P2</x:v>
      </x:c>
      <x:c r="D10" s="34" t="str">
        <x:v>Short Recording</x:v>
      </x:c>
      <x:c r="E10" s="34" t="str">
        <x:v>Pending (due Tue 27 Oct, not yet recorded)</x:v>
      </x:c>
      <x:c r="F10" s="34" t="str">
        <x:v>FR-01, FR-14, FR-15</x:v>
      </x:c>
      <x:c r="G10" s="34" t="str">
        <x:v>Keamogetse Ogone Kgosi (Kea)</x:v>
      </x:c>
      <x:c r="H10" s="34" t="str">
        <x:v>Phone and laptop side by side.</x:v>
      </x:c>
    </x:row>
    <x:row r="11">
      <x:c r="A11" s="34" t="str">
        <x:v>E-08</x:v>
      </x:c>
      <x:c r="B11" s="34" t="str">
        <x:v>Supabase Backend</x:v>
      </x:c>
      <x:c r="C11" s="34" t="str">
        <x:v>Table Editor before/after the demo booking; check-query results</x:v>
      </x:c>
      <x:c r="D11" s="34" t="str">
        <x:v>Supabase Evidence</x:v>
      </x:c>
      <x:c r="E11" s="34" t="str">
        <x:v>Pending (check queries not sent); access rules shown instead in m26, w15 and live-checks-2026-10-20.md</x:v>
      </x:c>
      <x:c r="F11" s="34" t="str">
        <x:v>NFR-04, NFR-05</x:v>
      </x:c>
      <x:c r="G11" s="34" t="str">
        <x:v>Gary van Wyk</x:v>
      </x:c>
      <x:c r="H11" s="34" t="str">
        <x:v>Hide keys and personal data.</x:v>
      </x:c>
    </x:row>
    <x:row r="12">
      <x:c r="A12" s="34" t="str">
        <x:v>E-09</x:v>
      </x:c>
      <x:c r="B12" s="34" t="str">
        <x:v>Microsoft Project</x:v>
      </x:c>
      <x:c r="C12" s="34" t="str">
        <x:v>Schedule with Unit 4 tasks</x:v>
      </x:c>
      <x:c r="D12" s="34" t="str">
        <x:v>Screenshot</x:v>
      </x:c>
      <x:c r="E12" s="34" t="str">
        <x:v>project-docs/phase-3/schedule/ (30 Oct file and 2 screenshots)</x:v>
      </x:c>
      <x:c r="F12" s="34" t="str">
        <x:v>-</x:v>
      </x:c>
      <x:c r="G12" s="34" t="str">
        <x:v>Moremi KE (Khumo)</x:v>
      </x:c>
      <x:c r="H12" s="34" t="str">
        <x:v>Khumo's file; finished tasks still to be marked 100%.</x:v>
      </x:c>
    </x:row>
    <x:row r="13">
      <x:c r="A13" s="34" t="str">
        <x:v>E-10</x:v>
      </x:c>
      <x:c r="B13" s="34" t="str">
        <x:v>ASP.NET</x:v>
      </x:c>
      <x:c r="C13" s="34" t="str">
        <x:v>Login, wrong password, empty fields, protected-page redirect, /Track start, invalid code, unknown code (desktop and phone)</x:v>
      </x:c>
      <x:c r="D13" s="34" t="str">
        <x:v>Screenshot</x:v>
      </x:c>
      <x:c r="E13" s="34" t="str">
        <x:v>project-docs/phase-3/evidence/web (14 screenshots)</x:v>
      </x:c>
      <x:c r="F13" s="34" t="str">
        <x:v>FR-12, FR-14, NFR-01, NFR-03</x:v>
      </x:c>
      <x:c r="G13" s="34" t="str">
        <x:v>Wisani Nkuna</x:v>
      </x:c>
      <x:c r="H13" s="34" t="str">
        <x:v>Web app running against the live Supabase project, 20 Oct. No keys or personal data shown.</x:v>
      </x:c>
    </x:row>
    <x:row r="14">
      <x:c r="A14" s="34" t="str">
        <x:v>E-11</x:v>
      </x:c>
      <x:c r="B14" s="34" t="str">
        <x:v>Supabase Backend</x:v>
      </x:c>
      <x:c r="C14" s="34" t="str">
        <x:v>Live access-rule checks with the public key</x:v>
      </x:c>
      <x:c r="D14" s="34" t="str">
        <x:v>Supabase Evidence</x:v>
      </x:c>
      <x:c r="E14" s="34" t="str">
        <x:v>project-docs/phase-3/evidence/live-checks-2026-10-20.md</x:v>
      </x:c>
      <x:c r="F14" s="34" t="str">
        <x:v>NFR-04, FR-17</x:v>
      </x:c>
      <x:c r="G14" s="34" t="str">
        <x:v>Wisani Nkuna</x:v>
      </x:c>
      <x:c r="H14" s="34" t="str">
        <x:v>Anonymous reads return nothing; staff functions refuse anonymous callers (0008 live); created_by column not there yet (0010 not run).</x:v>
      </x:c>
    </x:row>
    <x:row r="15">
      <x:c r="A15" s="34" t="str"/>
      <x:c r="B15" s="34" t="str"/>
      <x:c r="C15" s="34" t="str"/>
      <x:c r="D15" s="34" t="str"/>
      <x:c r="E15" s="34" t="str"/>
      <x:c r="F15" s="34" t="str"/>
      <x:c r="G15" s="34" t="str"/>
      <x:c r="H15" s="34" t="str"/>
    </x:row>
    <x:row r="16">
      <x:c r="A16" s="34" t="str"/>
      <x:c r="B16" s="34" t="str"/>
      <x:c r="C16" s="34" t="str"/>
      <x:c r="D16" s="34" t="str"/>
      <x:c r="E16" s="34" t="str"/>
      <x:c r="F16" s="34" t="str"/>
      <x:c r="G16" s="34" t="str"/>
      <x:c r="H16" s="34" t="str"/>
    </x:row>
    <x:row r="17">
      <x:c r="A17" s="34" t="str"/>
      <x:c r="B17" s="34" t="str"/>
      <x:c r="C17" s="34" t="str"/>
      <x:c r="D17" s="34" t="str"/>
      <x:c r="E17" s="34" t="str"/>
      <x:c r="F17" s="34" t="str"/>
      <x:c r="G17" s="34" t="str"/>
      <x:c r="H17" s="34" t="str"/>
    </x:row>
    <x:row r="18">
      <x:c r="A18" s="34" t="str"/>
      <x:c r="B18" s="34" t="str"/>
      <x:c r="C18" s="34" t="str"/>
      <x:c r="D18" s="34" t="str"/>
      <x:c r="E18" s="34" t="str"/>
      <x:c r="F18" s="34" t="str"/>
      <x:c r="G18" s="34" t="str"/>
      <x:c r="H18" s="34" t="str"/>
    </x:row>
    <x:row r="19">
      <x:c r="A19" s="34" t="str"/>
      <x:c r="B19" s="34" t="str"/>
      <x:c r="C19" s="34" t="str"/>
      <x:c r="D19" s="34" t="str"/>
      <x:c r="E19" s="34" t="str"/>
      <x:c r="F19" s="34" t="str"/>
      <x:c r="G19" s="34" t="str"/>
      <x:c r="H19" s="34" t="str"/>
    </x:row>
    <x:row r="20">
      <x:c r="A20" s="34" t="str"/>
      <x:c r="B20" s="34" t="str"/>
      <x:c r="C20" s="34" t="str"/>
      <x:c r="D20" s="34" t="str"/>
      <x:c r="E20" s="34" t="str"/>
      <x:c r="F20" s="34" t="str"/>
      <x:c r="G20" s="34" t="str"/>
      <x:c r="H20" s="34" t="str"/>
    </x:row>
    <x:row r="21">
      <x:c r="A21" s="34" t="str"/>
      <x:c r="B21" s="34" t="str"/>
      <x:c r="C21" s="34" t="str"/>
      <x:c r="D21" s="34" t="str"/>
      <x:c r="E21" s="34" t="str"/>
      <x:c r="F21" s="34" t="str"/>
      <x:c r="G21" s="34" t="str"/>
      <x:c r="H21" s="34" t="str"/>
    </x:row>
    <x:row r="22">
      <x:c r="A22" s="34" t="str"/>
      <x:c r="B22" s="34" t="str"/>
      <x:c r="C22" s="34" t="str"/>
      <x:c r="D22" s="34" t="str"/>
      <x:c r="E22" s="34" t="str"/>
      <x:c r="F22" s="34" t="str"/>
      <x:c r="G22" s="34" t="str"/>
      <x:c r="H22" s="34" t="str"/>
    </x:row>
    <x:row r="23">
      <x:c r="A23" s="34" t="str"/>
      <x:c r="B23" s="34" t="str"/>
      <x:c r="C23" s="34" t="str"/>
      <x:c r="D23" s="34" t="str"/>
      <x:c r="E23" s="34" t="str"/>
      <x:c r="F23" s="34" t="str"/>
      <x:c r="G23" s="34" t="str"/>
      <x:c r="H23" s="34" t="str"/>
    </x:row>
    <x:row r="24">
      <x:c r="A24" s="34" t="str"/>
      <x:c r="B24" s="34" t="str"/>
      <x:c r="C24" s="34" t="str"/>
      <x:c r="D24" s="34" t="str"/>
      <x:c r="E24" s="34" t="str"/>
      <x:c r="F24" s="34" t="str"/>
      <x:c r="G24" s="34" t="str"/>
      <x:c r="H24" s="34" t="str"/>
    </x:row>
    <x:row r="25">
      <x:c r="A25" s="34" t="str"/>
      <x:c r="B25" s="34" t="str"/>
      <x:c r="C25" s="34" t="str"/>
      <x:c r="D25" s="34" t="str"/>
      <x:c r="E25" s="34" t="str"/>
      <x:c r="F25" s="34" t="str"/>
      <x:c r="G25" s="34" t="str"/>
      <x:c r="H25" s="34" t="str"/>
    </x:row>
    <x:row r="26">
      <x:c r="A26" s="34" t="str"/>
      <x:c r="B26" s="34" t="str"/>
      <x:c r="C26" s="34" t="str"/>
      <x:c r="D26" s="34" t="str"/>
      <x:c r="E26" s="34" t="str"/>
      <x:c r="F26" s="34" t="str"/>
      <x:c r="G26" s="34" t="str"/>
      <x:c r="H26" s="34" t="str"/>
    </x:row>
    <x:row r="27">
      <x:c r="A27" s="34" t="str"/>
      <x:c r="B27" s="34" t="str"/>
      <x:c r="C27" s="34" t="str"/>
      <x:c r="D27" s="34" t="str"/>
      <x:c r="E27" s="34" t="str"/>
      <x:c r="F27" s="34" t="str"/>
      <x:c r="G27" s="34" t="str"/>
      <x:c r="H27" s="34" t="str"/>
    </x:row>
    <x:row r="28">
      <x:c r="A28" s="34" t="str"/>
      <x:c r="B28" s="34" t="str"/>
      <x:c r="C28" s="34" t="str"/>
      <x:c r="D28" s="34" t="str"/>
      <x:c r="E28" s="34" t="str"/>
      <x:c r="F28" s="34" t="str"/>
      <x:c r="G28" s="34" t="str"/>
      <x:c r="H28" s="34" t="str"/>
    </x:row>
    <x:row r="29">
      <x:c r="A29" s="34" t="str"/>
      <x:c r="B29" s="34" t="str"/>
      <x:c r="C29" s="34" t="str"/>
      <x:c r="D29" s="34" t="str"/>
      <x:c r="E29" s="34" t="str"/>
      <x:c r="F29" s="34" t="str"/>
      <x:c r="G29" s="34" t="str"/>
      <x:c r="H29" s="34" t="str"/>
    </x:row>
    <x:row r="30">
      <x:c r="A30" s="34" t="str"/>
      <x:c r="B30" s="34" t="str"/>
      <x:c r="C30" s="34" t="str"/>
      <x:c r="D30" s="34" t="str"/>
      <x:c r="E30" s="34" t="str"/>
      <x:c r="F30" s="34" t="str"/>
      <x:c r="G30" s="34" t="str"/>
      <x:c r="H30" s="34" t="str"/>
    </x:row>
    <x:row r="31">
      <x:c r="A31" s="34" t="str"/>
      <x:c r="B31" s="34" t="str"/>
      <x:c r="C31" s="34" t="str"/>
      <x:c r="D31" s="34" t="str"/>
      <x:c r="E31" s="34" t="str"/>
      <x:c r="F31" s="34" t="str"/>
      <x:c r="G31" s="34" t="str"/>
      <x:c r="H31" s="34" t="str"/>
    </x:row>
    <x:row r="32">
      <x:c r="A32" s="34" t="str"/>
      <x:c r="B32" s="34" t="str"/>
      <x:c r="C32" s="34" t="str"/>
      <x:c r="D32" s="34" t="str"/>
      <x:c r="E32" s="34" t="str"/>
      <x:c r="F32" s="34" t="str"/>
      <x:c r="G32" s="34" t="str"/>
      <x:c r="H32" s="34" t="str"/>
    </x:row>
    <x:row r="33">
      <x:c r="A33" s="34" t="str"/>
      <x:c r="B33" s="34" t="str"/>
      <x:c r="C33" s="34" t="str"/>
      <x:c r="D33" s="34" t="str"/>
      <x:c r="E33" s="34" t="str"/>
      <x:c r="F33" s="34" t="str"/>
      <x:c r="G33" s="34" t="str"/>
      <x:c r="H33" s="34" t="str"/>
    </x:row>
  </x:sheetData>
  <x:mergeCells>
    <x:mergeCell ref="A1:H1"/>
  </x:mergeCells>
  <x:dataValidations count="2">
    <x:dataValidation type="list" sqref="B4:B33">
      <x:formula1>"Supabase Backend,Flutter,ASP.NET,Integration,SRS,Microsoft Project,GitHub,Final Demonstration,Other"</x:formula1>
    </x:dataValidation>
    <x:dataValidation type="list" sqref="D4:D33">
      <x:formula1>"Screenshot,Short Recording,GitHub Commit/PR,SRS Section,Supabase Evidence,Other"</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0" hidden="0" customWidth="1"/>
    <x:col min="5" max="5" width="24" hidden="0" customWidth="1"/>
    <x:col min="6" max="6" width="15" hidden="0" customWidth="1"/>
    <x:col min="7" max="7" width="15" hidden="0" customWidth="1"/>
    <x:col min="8" max="8" width="15" hidden="0" customWidth="1"/>
    <x:col min="9" max="9" width="34" hidden="0" customWidth="1"/>
  </x:cols>
  <x:sheetData>
    <x:row r="1" ht="34" customHeight="1">
      <x:c r="A1" s="5" t="str">
        <x:v>Phase 3 Challenges and Corrective Actions</x:v>
      </x:c>
      <x:c r="B1" s="5"/>
      <x:c r="C1" s="5"/>
      <x:c r="D1" s="5"/>
      <x:c r="E1" s="5"/>
      <x:c r="F1" s="5"/>
      <x:c r="G1" s="5"/>
      <x:c r="H1" s="5"/>
      <x:c r="I1" s="5"/>
    </x:row>
    <x:row r="3" ht="30" customHeight="1">
      <x:c r="A3" s="17" t="str">
        <x:v>Date Identified</x:v>
      </x:c>
      <x:c r="B3" s="17" t="str">
        <x:v>Development / Integration Challenge</x:v>
      </x:c>
      <x:c r="C3" s="17" t="str">
        <x:v>Effect on Progress or Function</x:v>
      </x:c>
      <x:c r="D3" s="17" t="str">
        <x:v>Action Taken / Required</x:v>
      </x:c>
      <x:c r="E3" s="17" t="str">
        <x:v>Responsible Student</x:v>
      </x:c>
      <x:c r="F3" s="17" t="str">
        <x:v>Target Date</x:v>
      </x:c>
      <x:c r="G3" s="17" t="str">
        <x:v>Status</x:v>
      </x:c>
      <x:c r="H3" s="17" t="str">
        <x:v>Resolved Date</x:v>
      </x:c>
      <x:c r="I3" s="17" t="str">
        <x:v>Notes / Known Limitation</x:v>
      </x:c>
    </x:row>
    <x:row r="4">
      <x:c r="A4" s="34" t="str">
        <x:v>2026-10-08</x:v>
      </x:c>
      <x:c r="B4" s="34" t="str">
        <x:v>Web "Add part" fails (error 42804): old text version of add_booking_part still in the database</x:v>
      </x:c>
      <x:c r="C4" s="34" t="str">
        <x:v>Web cannot use the database function for parts</x:v>
      </x:c>
      <x:c r="D4" s="34" t="str">
        <x:v>Run migrations 0009 then 0004; web uses a temporary workaround meanwhile</x:v>
      </x:c>
      <x:c r="E4" s="34" t="str">
        <x:v>Gary van Wyk</x:v>
      </x:c>
      <x:c r="F4" s="34" t="str">
        <x:v>2026-10-21</x:v>
      </x:c>
      <x:c r="G4" s="34" t="str">
        <x:v>Completed</x:v>
      </x:c>
      <x:c r="H4" s="34" t="str">
        <x:v>2026-10-30</x:v>
      </x:c>
      <x:c r="I4" s="34" t="str">
        <x:v>Migrations 0009 and 0004 run (30 Oct); web add part uses add_booking_part.</x:v>
      </x:c>
    </x:row>
    <x:row r="5">
      <x:c r="A5" s="34" t="str">
        <x:v>2026-10-07</x:v>
      </x:c>
      <x:c r="B5" s="34" t="str">
        <x:v>update_booking_phase runs without a login</x:v>
      </x:c>
      <x:c r="C5" s="34" t="str">
        <x:v>Anyone with a booking id could change its phase and see customer details</x:v>
      </x:c>
      <x:c r="D5" s="34" t="str">
        <x:v>Run migration 0008 (staff functions signed-in only)</x:v>
      </x:c>
      <x:c r="E5" s="34" t="str">
        <x:v>Gary van Wyk</x:v>
      </x:c>
      <x:c r="F5" s="34" t="str">
        <x:v>2026-10-21</x:v>
      </x:c>
      <x:c r="G5" s="34" t="str">
        <x:v>Completed</x:v>
      </x:c>
      <x:c r="H5" s="34" t="str">
        <x:v>2026-10-20</x:v>
      </x:c>
      <x:c r="I5" s="34" t="str">
        <x:v>Confirmed live 20 Oct: anonymous call refused (permission denied). Migration 0008 is applied.</x:v>
      </x:c>
    </x:row>
    <x:row r="6">
      <x:c r="A6" s="34" t="str">
        <x:v>2026-09-17</x:v>
      </x:c>
      <x:c r="B6" s="34" t="str">
        <x:v>Two labour tables: Flutter writes booking_labor, web writes jobs</x:v>
      </x:c>
      <x:c r="C6" s="34" t="str">
        <x:v>Web and mobile invoices can show different labour totals</x:v>
      </x:c>
      <x:c r="D6" s="34" t="str">
        <x:v>Decide one ledger at the 20 Oct meeting; move the other app over</x:v>
      </x:c>
      <x:c r="E6" s="34" t="str">
        <x:v>Wisani Nkuna; Gary van Wyk</x:v>
      </x:c>
      <x:c r="F6" s="34" t="str">
        <x:v>2026-10-25</x:v>
      </x:c>
      <x:c r="G6" s="34" t="str">
        <x:v>Completed</x:v>
      </x:c>
      <x:c r="H6" s="34" t="str">
        <x:v>2026-10-30</x:v>
      </x:c>
      <x:c r="I6" s="34" t="str">
        <x:v>Decided 30 Oct: booking_labor is the one ledger; website moved over (PR #21); tested live.</x:v>
      </x:c>
    </x:row>
    <x:row r="7">
      <x:c r="A7" s="34" t="str">
        <x:v>2026-10-18</x:v>
      </x:c>
      <x:c r="B7" s="34" t="str">
        <x:v>Admin role read from two places (web email list, Flutter profiles.role)</x:v>
      </x:c>
      <x:c r="C7" s="34" t="str">
        <x:v>A person could be admin in one app and not the other</x:v>
      </x:c>
      <x:c r="D7" s="34" t="str">
        <x:v>Web reads profiles.role</x:v>
      </x:c>
      <x:c r="E7" s="34" t="str">
        <x:v>Wisani Nkuna</x:v>
      </x:c>
      <x:c r="F7" s="34" t="str">
        <x:v>2026-10-25</x:v>
      </x:c>
      <x:c r="G7" s="34" t="str">
        <x:v>Completed</x:v>
      </x:c>
      <x:c r="H7" s="34" t="str">
        <x:v>2026-10-30</x:v>
      </x:c>
      <x:c r="I7" s="34" t="str">
        <x:v>Done 30 Oct: the website reads profiles.role at login.</x:v>
      </x:c>
    </x:row>
    <x:row r="8">
      <x:c r="A8" s="34" t="str">
        <x:v>2026-10-18</x:v>
      </x:c>
      <x:c r="B8" s="34" t="str">
        <x:v>Finalize and reopen were blocked only by hidden buttons</x:v>
      </x:c>
      <x:c r="C8" s="34" t="str">
        <x:v>Access rule not enforced by the database</x:v>
      </x:c>
      <x:c r="D8" s="34" t="str">
        <x:v>Migration 0011 written and tested; Gary to run it</x:v>
      </x:c>
      <x:c r="E8" s="34" t="str">
        <x:v>Wisani Nkuna; Gary van Wyk</x:v>
      </x:c>
      <x:c r="F8" s="34" t="str">
        <x:v>2026-10-21</x:v>
      </x:c>
      <x:c r="G8" s="34" t="str">
        <x:v>Completed</x:v>
      </x:c>
      <x:c r="H8" s="34" t="str">
        <x:v>2026-10-30</x:v>
      </x:c>
      <x:c r="I8" s="34" t="str">
        <x:v>Migration 0011 run; mechanic update of a closed booking changes 0 rows, admin changes 1 (30 Oct).</x:v>
      </x:c>
    </x:row>
    <x:row r="9">
      <x:c r="A9" s="34" t="str">
        <x:v>2026-09-25</x:v>
      </x:c>
      <x:c r="B9" s="34" t="str">
        <x:v>Flutter adds a part with three separate calls</x:v>
      </x:c>
      <x:c r="C9" s="34" t="str">
        <x:v>If one call fails, stock can be wrong</x:v>
      </x:c>
      <x:c r="D9" s="34" t="str">
        <x:v>Switch Flutter to add_booking_part</x:v>
      </x:c>
      <x:c r="E9" s="34" t="str">
        <x:v>Gary van Wyk</x:v>
      </x:c>
      <x:c r="F9" s="34" t="str">
        <x:v>2026-10-25</x:v>
      </x:c>
      <x:c r="G9" s="34" t="str">
        <x:v>Completed</x:v>
      </x:c>
      <x:c r="H9" s="34" t="str">
        <x:v>2026-10-30</x:v>
      </x:c>
      <x:c r="I9" s="34" t="str">
        <x:v>Done 30 Oct: the phone now calls add_booking_part; tested.</x:v>
      </x:c>
    </x:row>
    <x:row r="10">
      <x:c r="A10" s="34" t="str">
        <x:v>2026-10-17</x:v>
      </x:c>
      <x:c r="B10" s="34" t="str">
        <x:v>Push notification setup throws in the Flutter web build</x:v>
      </x:c>
      <x:c r="C10" s="34" t="str">
        <x:v>Customer lookup fails on the web version</x:v>
      </x:c>
      <x:c r="D10" s="34" t="str">
        <x:v>Add a kIsWeb check before push setup</x:v>
      </x:c>
      <x:c r="E10" s="34" t="str">
        <x:v>Gary van Wyk</x:v>
      </x:c>
      <x:c r="F10" s="34" t="str">
        <x:v>2026-10-24</x:v>
      </x:c>
      <x:c r="G10" s="34" t="str">
        <x:v>Completed</x:v>
      </x:c>
      <x:c r="H10" s="34" t="str">
        <x:v>2026-10-30</x:v>
      </x:c>
      <x:c r="I10" s="34" t="str">
        <x:v>kIsWeb guard added (PR #20). Push stays Android only.</x:v>
      </x:c>
    </x:row>
    <x:row r="11">
      <x:c r="A11" s="34" t="str">
        <x:v>2026-09-29</x:v>
      </x:c>
      <x:c r="B11" s="34" t="str">
        <x:v>Firebase service-account key was committed to GitHub</x:v>
      </x:c>
      <x:c r="C11" s="34" t="str">
        <x:v>Key could be misused</x:v>
      </x:c>
      <x:c r="D11" s="34" t="str">
        <x:v>Revoke the key in Google Cloud</x:v>
      </x:c>
      <x:c r="E11" s="34" t="str">
        <x:v>Gary van Wyk</x:v>
      </x:c>
      <x:c r="F11" s="34" t="str">
        <x:v>2026-10-19</x:v>
      </x:c>
      <x:c r="G11" s="34" t="str">
        <x:v>Not Started</x:v>
      </x:c>
      <x:c r="H11" s="34" t="str"/>
      <x:c r="I11" s="34" t="str">
        <x:v>Gary re-uploaded the key file a third time; removed again 30 Oct but still in git history; the key is valid until revoked in Google Cloud.</x:v>
      </x:c>
    </x:row>
    <x:row r="12">
      <x:c r="A12" s="34" t="str">
        <x:v>2026-09-17</x:v>
      </x:c>
      <x:c r="B12" s="34" t="str">
        <x:v>Flutter does not live-update (no Realtime subscriptions)</x:v>
      </x:c>
      <x:c r="C12" s="34" t="str">
        <x:v>Flutter needs a refresh to see web changes</x:v>
      </x:c>
      <x:c r="D12" s="34" t="str">
        <x:v>Accepted: the Unit 4 notes allow a refresh unless real-time is a requirement</x:v>
      </x:c>
      <x:c r="E12" s="34" t="str">
        <x:v>-</x:v>
      </x:c>
      <x:c r="F12" s="34" t="str">
        <x:v>2026-10-18</x:v>
      </x:c>
      <x:c r="G12" s="34" t="str">
        <x:v>Completed</x:v>
      </x:c>
      <x:c r="H12" s="34" t="str">
        <x:v>2026-10-18</x:v>
      </x:c>
      <x:c r="I12" s="34" t="str">
        <x:v>Known limitation; the web dashboard live-reloads and the phone reloads when pulled down (m27).</x:v>
      </x:c>
    </x:row>
    <x:row r="13">
      <x:c r="A13" s="34" t="str">
        <x:v>2026-10-14</x:v>
      </x:c>
      <x:c r="B13" s="34" t="str">
        <x:v>No mobile changes on GitHub main since 28 Sept</x:v>
      </x:c>
      <x:c r="C13" s="34" t="str">
        <x:v>Mobile fixes and the WhatsApp button are not in the repo yet</x:v>
      </x:c>
      <x:c r="D13" s="34" t="str">
        <x:v>Handoff PDF with exact steps; check-in at the 20 Oct meeting</x:v>
      </x:c>
      <x:c r="E13" s="34" t="str">
        <x:v>Gary van Wyk</x:v>
      </x:c>
      <x:c r="F13" s="34" t="str">
        <x:v>2026-10-24</x:v>
      </x:c>
      <x:c r="G13" s="34" t="str">
        <x:v>Completed</x:v>
      </x:c>
      <x:c r="H13" s="34" t="str">
        <x:v>2026-10-30</x:v>
      </x:c>
      <x:c r="I13" s="34" t="str">
        <x:v>Gary uploaded the mobile changes 29-30 Oct (WhatsApp sheet, fingerprint login).</x:v>
      </x:c>
    </x:row>
    <x:row r="14">
      <x:c r="A14" s="34" t="str">
        <x:v>2026-10-16</x:v>
      </x:c>
      <x:c r="B14" s="34" t="str">
        <x:v>Latest changes could not be pushed to GitHub directly</x:v>
      </x:c>
      <x:c r="C14" s="34" t="str">
        <x:v>Repository behind the working version</x:v>
      </x:c>
      <x:c r="D14" s="34" t="str">
        <x:v>Uploaded folder by folder through GitHub web</x:v>
      </x:c>
      <x:c r="E14" s="34" t="str">
        <x:v>Wisani Nkuna</x:v>
      </x:c>
      <x:c r="F14" s="34" t="str">
        <x:v>2026-10-20</x:v>
      </x:c>
      <x:c r="G14" s="34" t="str">
        <x:v>Completed</x:v>
      </x:c>
      <x:c r="H14" s="34" t="str">
        <x:v>2026-10-30</x:v>
      </x:c>
      <x:c r="I14" s="34" t="str">
        <x:v>Changes now reach GitHub main through pull requests (#19-#21).</x:v>
      </x:c>
    </x:row>
    <x:row r="15">
      <x:c r="A15" s="34" t="str">
        <x:v>2026-10-19</x:v>
      </x:c>
      <x:c r="B15" s="34" t="str">
        <x:v>Phase 2 files were uploaded to the Assessment 3 slot on eThuto (0 attempts left)</x:v>
      </x:c>
      <x:c r="C15" s="34" t="str">
        <x:v>Group cannot upload Phase 3 until the attempt is reset</x:v>
      </x:c>
      <x:c r="D15" s="34" t="str">
        <x:v>Email Ms Mbele: move the files to Assessment 2 and reset the Assessment 3 attempt</x:v>
      </x:c>
      <x:c r="E15" s="34" t="str">
        <x:v>Wisani Nkuna</x:v>
      </x:c>
      <x:c r="F15" s="34" t="str">
        <x:v>2026-10-23</x:v>
      </x:c>
      <x:c r="G15" s="34" t="str">
        <x:v>In Progress</x:v>
      </x:c>
      <x:c r="H15" s="34" t="str"/>
      <x:c r="I15" s="34" t="str">
        <x:v>Attempt reset status to confirm; the files are also in the submission ZIP.</x:v>
      </x:c>
    </x:row>
    <x:row r="16">
      <x:c r="A16" s="34" t="str">
        <x:v>2026-10-17</x:v>
      </x:c>
      <x:c r="B16" s="34" t="str">
        <x:v>Vercel container hosting is a beta and sleeps after 5 idle minutes</x:v>
      </x:c>
      <x:c r="C16" s="34" t="str">
        <x:v>First page after a quiet spell is slow; staff may need to log in again</x:v>
      </x:c>
      <x:c r="D16" s="34" t="str">
        <x:v>Open the site 2 minutes before the demo; laptop version as back-up</x:v>
      </x:c>
      <x:c r="E16" s="34" t="str">
        <x:v>Wisani Nkuna</x:v>
      </x:c>
      <x:c r="F16" s="34" t="str">
        <x:v>2026-10-31</x:v>
      </x:c>
      <x:c r="G16" s="34" t="str">
        <x:v>In Progress</x:v>
      </x:c>
      <x:c r="H16" s="34" t="str"/>
      <x:c r="I16" s="34" t="str">
        <x:v>Known limitation.</x:v>
      </x:c>
    </x:row>
    <x:row r="17">
      <x:c r="A17" s="34" t="str">
        <x:v>2026-10-20</x:v>
      </x:c>
      <x:c r="B17" s="34" t="str">
        <x:v>Flutter keeps bookings and parts in memory until the app restarts (no refresh)</x:v>
      </x:c>
      <x:c r="C17" s="34" t="str">
        <x:v>Changes made on the web never appear on the phone; shared process P1 fails in the demo</x:v>
      </x:c>
      <x:c r="D17" s="34" t="str">
        <x:v>Add RefreshIndicator + ref.invalidate on the bookings list and booking details</x:v>
      </x:c>
      <x:c r="E17" s="34" t="str">
        <x:v>Gary van Wyk</x:v>
      </x:c>
      <x:c r="F17" s="34" t="str">
        <x:v>2026-10-24</x:v>
      </x:c>
      <x:c r="G17" s="34" t="str">
        <x:v>Completed</x:v>
      </x:c>
      <x:c r="H17" s="34" t="str">
        <x:v>2026-10-30</x:v>
      </x:c>
      <x:c r="I17" s="34" t="str">
        <x:v>Done 30 Oct: pull-to-refresh on the bookings list and booking page (m27).</x:v>
      </x:c>
    </x:row>
    <x:row r="18">
      <x:c r="A18" s="34" t="str">
        <x:v>2026-10-20</x:v>
      </x:c>
      <x:c r="B18" s="34" t="str">
        <x:v>Wrong password showed staff a raw technical error ({"code":400,"error_code":"invalid_credentials"...})</x:v>
      </x:c>
      <x:c r="C18" s="34" t="str">
        <x:v>Confusing for staff (NFR-01)</x:v>
      </x:c>
      <x:c r="D18" s="34" t="str">
        <x:v>Login page now shows "Incorrect email or password."</x:v>
      </x:c>
      <x:c r="E18" s="34" t="str">
        <x:v>Wisani Nkuna</x:v>
      </x:c>
      <x:c r="F18" s="34" t="str">
        <x:v>2026-10-20</x:v>
      </x:c>
      <x:c r="G18" s="34" t="str">
        <x:v>Completed</x:v>
      </x:c>
      <x:c r="H18" s="34" t="str">
        <x:v>2026-10-20</x:v>
      </x:c>
      <x:c r="I18" s="34" t="str">
        <x:v>Found while checking the web app against the live project.</x:v>
      </x:c>
    </x:row>
    <x:row r="19">
      <x:c r="A19" s="34" t="str">
        <x:v>2026-10-20</x:v>
      </x:c>
      <x:c r="B19" s="34" t="str">
        <x:v>Login failed with HTTP 400 on Vercel</x:v>
      </x:c>
      <x:c r="C19" s="34" t="str">
        <x:v>Staff could not log in reliably; would also cause random logouts</x:v>
      </x:c>
      <x:c r="D19" s="34" t="str">
        <x:v>Every container now uses the same encryption key from the DataProtection__Secret setting (web/Auth/FixedKeyRepository.cs)</x:v>
      </x:c>
      <x:c r="E19" s="34" t="str">
        <x:v>Wisani Nkuna</x:v>
      </x:c>
      <x:c r="F19" s="34" t="str">
        <x:v>2026-10-20</x:v>
      </x:c>
      <x:c r="G19" s="34" t="str">
        <x:v>Completed</x:v>
      </x:c>
      <x:c r="H19" s="34" t="str">
        <x:v>2026-10-20</x:v>
      </x:c>
      <x:c r="I19" s="34" t="str">
        <x:v>Reproduced and fixed locally, then confirmed on the live site.</x:v>
      </x:c>
    </x:row>
    <x:row r="20">
      <x:c r="A20" s="34" t="str">
        <x:v>2026-10-30</x:v>
      </x:c>
      <x:c r="B20" s="34" t="str">
        <x:v>Gary uploaded the Firebase key file (third time) and the pubspec lists riese_logo.png that was never uploaded, so flutter build fails</x:v>
      </x:c>
      <x:c r="C20" s="34" t="str">
        <x:v>Key exposed again; mobile app does not build from GitHub</x:v>
      </x:c>
      <x:c r="D20" s="34" t="str">
        <x:v>Key file removed from the repo; logo asset added from the web logo (PR #20)</x:v>
      </x:c>
      <x:c r="E20" s="34" t="str">
        <x:v>Wisani Nkuna</x:v>
      </x:c>
      <x:c r="F20" s="34" t="str">
        <x:v>2026-10-30</x:v>
      </x:c>
      <x:c r="G20" s="34" t="str">
        <x:v>Completed</x:v>
      </x:c>
      <x:c r="H20" s="34" t="str">
        <x:v>2026-10-30</x:v>
      </x:c>
      <x:c r="I20" s="34" t="str">
        <x:v>Gary to stop uploading the key file; the key must still be revoked.</x:v>
      </x:c>
    </x:row>
    <x:row r="21">
      <x:c r="A21" s="34" t="str">
        <x:v>2026-10-30</x:v>
      </x:c>
      <x:c r="B21" s="34" t="str">
        <x:v>Flutter analyzer errors from a dead old copy of home_screen.dart that imports a missing file</x:v>
      </x:c>
      <x:c r="C21" s="34" t="str">
        <x:v>flutter analyze fails</x:v>
      </x:c>
      <x:c r="D21" s="34" t="str">
        <x:v>Deleted the unused copy (PR #20)</x:v>
      </x:c>
      <x:c r="E21" s="34" t="str">
        <x:v>Wisani Nkuna</x:v>
      </x:c>
      <x:c r="F21" s="34" t="str">
        <x:v>2026-10-30</x:v>
      </x:c>
      <x:c r="G21" s="34" t="str">
        <x:v>Completed</x:v>
      </x:c>
      <x:c r="H21" s="34" t="str">
        <x:v>2026-10-30</x:v>
      </x:c>
      <x:c r="I21" s="34" t="str">
        <x:v>Only analyzer errors; app unaffected.</x:v>
      </x:c>
    </x:row>
    <x:row r="22">
      <x:c r="A22" s="34" t="str">
        <x:v>2026-10-30</x:v>
      </x:c>
      <x:c r="B22" s="34" t="str">
        <x:v>Phone logged labour R350 (total R370) but the website showed Labour R0 (total R20) on the same booking</x:v>
      </x:c>
      <x:c r="C22" s="34" t="str">
        <x:v>Two invoices for one booking disagreed</x:v>
      </x:c>
      <x:c r="D22" s="34" t="str">
        <x:v>One ledger: website moved to booking_labor (PR #21)</x:v>
      </x:c>
      <x:c r="E22" s="34" t="str">
        <x:v>Wisani Nkuna</x:v>
      </x:c>
      <x:c r="F22" s="34" t="str">
        <x:v>2026-10-30</x:v>
      </x:c>
      <x:c r="G22" s="34" t="str">
        <x:v>Completed</x:v>
      </x:c>
      <x:c r="H22" s="34" t="str">
        <x:v>2026-10-30</x:v>
      </x:c>
      <x:c r="I22" s="34" t="str">
        <x:v>Screenshots w04, w12, w16 retaken on the live site after the fix. Old jobs with hours on the jobs row are not counted.</x:v>
      </x:c>
    </x:row>
    <x:row r="23">
      <x:c r="A23" s="34" t="str">
        <x:v>2026-10-30</x:v>
      </x:c>
      <x:c r="B23" s="34" t="str">
        <x:v>Admin role read from two places (web email list, phone profiles.role)</x:v>
      </x:c>
      <x:c r="C23" s="34" t="str">
        <x:v>Someone could be admin in one app only</x:v>
      </x:c>
      <x:c r="D23" s="34" t="str">
        <x:v>The website reads profiles.role at login (done 30 Oct)</x:v>
      </x:c>
      <x:c r="E23" s="34" t="str">
        <x:v>Wisani Nkuna</x:v>
      </x:c>
      <x:c r="F23" s="34" t="str">
        <x:v>2026-11-02</x:v>
      </x:c>
      <x:c r="G23" s="34" t="str">
        <x:v>Completed</x:v>
      </x:c>
      <x:c r="H23" s="34" t="str">
        <x:v>2026-10-30</x:v>
      </x:c>
      <x:c r="I23" s="34" t="str">
        <x:v>Fixed 30 Oct, tested with the email list emptied.</x:v>
      </x:c>
    </x:row>
    <x:row r="24">
      <x:c r="A24" s="34" t="str"/>
      <x:c r="B24" s="34" t="str"/>
      <x:c r="C24" s="34" t="str"/>
      <x:c r="D24" s="34" t="str"/>
      <x:c r="E24" s="34" t="str"/>
      <x:c r="F24" s="34" t="str"/>
      <x:c r="G24" s="34" t="str">
        <x:v>Not Started</x:v>
      </x:c>
      <x:c r="H24" s="34" t="str"/>
      <x:c r="I24" s="34" t="str"/>
    </x:row>
    <x:row r="25">
      <x:c r="A25" s="34" t="str"/>
      <x:c r="B25" s="34" t="str"/>
      <x:c r="C25" s="34" t="str"/>
      <x:c r="D25" s="34" t="str"/>
      <x:c r="E25" s="34" t="str"/>
      <x:c r="F25" s="34" t="str"/>
      <x:c r="G25" s="34" t="str">
        <x:v>Not Started</x:v>
      </x:c>
      <x:c r="H25" s="34" t="str"/>
      <x:c r="I25" s="34" t="str"/>
    </x:row>
    <x:row r="26">
      <x:c r="A26" s="34" t="str"/>
      <x:c r="B26" s="34" t="str"/>
      <x:c r="C26" s="34" t="str"/>
      <x:c r="D26" s="34" t="str"/>
      <x:c r="E26" s="34" t="str"/>
      <x:c r="F26" s="34" t="str"/>
      <x:c r="G26" s="34" t="str">
        <x:v>Not Started</x:v>
      </x:c>
      <x:c r="H26" s="34" t="str"/>
      <x:c r="I26" s="34" t="str"/>
    </x:row>
    <x:row r="27">
      <x:c r="A27" s="34" t="str"/>
      <x:c r="B27" s="34" t="str"/>
      <x:c r="C27" s="34" t="str"/>
      <x:c r="D27" s="34" t="str"/>
      <x:c r="E27" s="34" t="str"/>
      <x:c r="F27" s="34" t="str"/>
      <x:c r="G27" s="34" t="str">
        <x:v>Not Started</x:v>
      </x:c>
      <x:c r="H27" s="34" t="str"/>
      <x:c r="I27" s="34" t="str"/>
    </x:row>
    <x:row r="28">
      <x:c r="A28" s="34" t="str"/>
      <x:c r="B28" s="34" t="str"/>
      <x:c r="C28" s="34" t="str"/>
      <x:c r="D28" s="34" t="str"/>
      <x:c r="E28" s="34" t="str"/>
      <x:c r="F28" s="34" t="str"/>
      <x:c r="G28" s="34" t="str">
        <x:v>Not Started</x:v>
      </x:c>
      <x:c r="H28" s="34" t="str"/>
      <x:c r="I28" s="34" t="str"/>
    </x:row>
    <x:row r="29">
      <x:c r="A29" s="34" t="str"/>
      <x:c r="B29" s="34" t="str"/>
      <x:c r="C29" s="34" t="str"/>
      <x:c r="D29" s="34" t="str"/>
      <x:c r="E29" s="34" t="str"/>
      <x:c r="F29" s="34" t="str"/>
      <x:c r="G29" s="34" t="str">
        <x:v>Not Started</x:v>
      </x:c>
      <x:c r="H29" s="34" t="str"/>
      <x:c r="I29" s="34" t="str"/>
    </x:row>
    <x:row r="30">
      <x:c r="A30" s="34" t="str"/>
      <x:c r="B30" s="34" t="str"/>
      <x:c r="C30" s="34" t="str"/>
      <x:c r="D30" s="34" t="str"/>
      <x:c r="E30" s="34" t="str"/>
      <x:c r="F30" s="34" t="str"/>
      <x:c r="G30" s="34" t="str">
        <x:v>Not Started</x:v>
      </x:c>
      <x:c r="H30" s="34" t="str"/>
      <x:c r="I30" s="34" t="str"/>
    </x:row>
    <x:row r="31">
      <x:c r="A31" s="34" t="str"/>
      <x:c r="B31" s="34" t="str"/>
      <x:c r="C31" s="34" t="str"/>
      <x:c r="D31" s="34" t="str"/>
      <x:c r="E31" s="34" t="str"/>
      <x:c r="F31" s="34" t="str"/>
      <x:c r="G31" s="34" t="str">
        <x:v>Not Started</x:v>
      </x:c>
      <x:c r="H31" s="34" t="str"/>
      <x:c r="I31" s="34" t="str"/>
    </x:row>
    <x:row r="32">
      <x:c r="A32" s="34" t="str"/>
      <x:c r="B32" s="34" t="str"/>
      <x:c r="C32" s="34" t="str"/>
      <x:c r="D32" s="34" t="str"/>
      <x:c r="E32" s="34" t="str"/>
      <x:c r="F32" s="34" t="str"/>
      <x:c r="G32" s="34" t="str">
        <x:v>Not Started</x:v>
      </x:c>
      <x:c r="H32" s="34" t="str"/>
      <x:c r="I32" s="34" t="str"/>
    </x:row>
    <x:row r="33">
      <x:c r="A33" s="34" t="str"/>
      <x:c r="B33" s="34" t="str"/>
      <x:c r="C33" s="34" t="str"/>
      <x:c r="D33" s="34" t="str"/>
      <x:c r="E33" s="34" t="str"/>
      <x:c r="F33" s="34" t="str"/>
      <x:c r="G33" s="34" t="str">
        <x:v>Not Started</x:v>
      </x:c>
      <x:c r="H33" s="34" t="str"/>
      <x:c r="I33" s="34" t="str"/>
    </x:row>
  </x:sheetData>
  <x:mergeCells>
    <x:mergeCell ref="A1:I1"/>
  </x:mergeCells>
  <x:conditionalFormatting sqref="G4:G33">
    <x:cfRule type="expression" dxfId="5" priority="1">
      <x:formula>G4="Completed"</x:formula>
    </x:cfRule>
    <x:cfRule type="expression" dxfId="6" priority="2">
      <x:formula>G4="Blocked"</x:formula>
    </x:cfRule>
  </x:conditionalFormatting>
  <x:dataValidations count="1">
    <x:dataValidation type="list" sqref="G4:G33">
      <x:formula1>"Not Started,In Progress,Completed,Blocked"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34" hidden="0" customWidth="1"/>
    <x:col min="3" max="3" width="34" hidden="0" customWidth="1"/>
    <x:col min="4" max="4" width="4" hidden="0" customWidth="1"/>
    <x:col min="5" max="5" width="40" hidden="0" customWidth="1"/>
    <x:col min="6" max="6" width="14" hidden="0" customWidth="1"/>
  </x:cols>
  <x:sheetData>
    <x:row r="1" ht="34" customHeight="1">
      <x:c r="A1" s="5" t="str">
        <x:v>Phase 3 Progress Summary</x:v>
      </x:c>
      <x:c r="B1" s="5"/>
      <x:c r="C1" s="5"/>
      <x:c r="D1" s="5"/>
      <x:c r="E1" s="5"/>
      <x:c r="F1" s="5"/>
    </x:row>
    <x:row r="3" ht="30" customHeight="1">
      <x:c r="A3" s="28" t="str">
        <x:v>Reporting Period</x:v>
      </x:c>
      <x:c r="B3" s="34" t="str">
        <x:v>15 Oct - 2 Nov 2026 (updated 30 Oct)</x:v>
      </x:c>
      <x:c r="C3" s="34"/>
      <x:c r="E3" s="17" t="str">
        <x:v>Phase 3 Completion Checklist</x:v>
      </x:c>
      <x:c r="F3" s="17" t="str">
        <x:v>Complete?</x:v>
      </x:c>
    </x:row>
    <x:row r="4">
      <x:c r="A4" s="28" t="str">
        <x:v>Overall Phase Status</x:v>
      </x:c>
      <x:c r="B4" s="34" t="str">
        <x:v>In Progress</x:v>
      </x:c>
      <x:c r="C4" s="34"/>
      <x:c r="E4" t="str">
        <x:v>Shared Supabase backend implemented</x:v>
      </x:c>
      <x:c r="F4" s="34" t="str">
        <x:v>Yes</x:v>
      </x:c>
    </x:row>
    <x:row r="5">
      <x:c r="A5" s="28" t="str">
        <x:v>What was completed during Phase 3?</x:v>
      </x:c>
      <x:c r="B5" s="34" t="str">
        <x:v>Both apps run on one shared Supabase project and were run live on 30 Oct. Since 20 Oct: web restyled to match the mobile app and redeployed from main; Gary's WhatsApp sheet and fingerprint login merged; migrations 0009-0011 run; one labour ledger; 26 mobile and 16 web screenshots; SRS v3.0; submission ZIP. Also 30 Oct: pull-to-refresh and one-step add part on the phone, admin role from profiles on the website.</x:v>
      </x:c>
      <x:c r="C5" s="34"/>
      <x:c r="E5" t="str">
        <x:v>Main Flutter functions working</x:v>
      </x:c>
      <x:c r="F5" s="34" t="str">
        <x:v>Yes</x:v>
      </x:c>
    </x:row>
    <x:row r="6">
      <x:c r="A6" s="28" t="str">
        <x:v>Which functions or processes remain incomplete?</x:v>
      </x:c>
      <x:c r="B6" s="34" t="str">
        <x:v>Recording of P1 and P2; push notifications and fingerprint login on a real phone; the Firebase key must still be revoked.</x:v>
      </x:c>
      <x:c r="C6" s="34"/>
      <x:c r="E6" t="str">
        <x:v>Main ASP.NET functions working</x:v>
      </x:c>
      <x:c r="F6" s="34" t="str">
        <x:v>Yes</x:v>
      </x:c>
    </x:row>
    <x:row r="7">
      <x:c r="A7" s="28" t="str">
        <x:v>What known limitations remain?</x:v>
      </x:c>
      <x:c r="B7" s="34" t="str">
        <x:v>Phone does not update live (pull down to reload); push Android only; Vercel container sleeps when idle; the Firebase key is still valid until revoked.</x:v>
      </x:c>
      <x:c r="C7" s="34"/>
      <x:c r="E7" t="str">
        <x:v>At least two shared processes working</x:v>
      </x:c>
      <x:c r="F7" s="34" t="str">
        <x:v>Yes</x:v>
      </x:c>
    </x:row>
    <x:row r="8">
      <x:c r="A8" s="28" t="str">
        <x:v>Which contributions were particularly important?</x:v>
      </x:c>
      <x:c r="B8" s="34" t="str">
        <x:v>Gary: the Flutter app and the database. Wisani: web app, WhatsApp, access-rule migrations and hosting.</x:v>
      </x:c>
      <x:c r="C8" s="34"/>
      <x:c r="E8" t="str">
        <x:v>Integration progress recorded</x:v>
      </x:c>
      <x:c r="F8" s="34" t="str">
        <x:v>Yes</x:v>
      </x:c>
    </x:row>
    <x:row r="9">
      <x:c r="A9" s="28" t="str">
        <x:v>Were there participation concerns?</x:v>
      </x:c>
      <x:c r="B9" s="34" t="str">
        <x:v>No concerns raised. Phase 3 records for Kea, Khumo, Denny, Ofentse and Breyton are theirs to add; only Wisani's and Gary's work is recorded here.</x:v>
      </x:c>
      <x:c r="C9" s="34"/>
      <x:c r="E9" t="str">
        <x:v>Implementation evidence recorded</x:v>
      </x:c>
      <x:c r="F9" s="34" t="str">
        <x:v>Yes</x:v>
      </x:c>
    </x:row>
    <x:row r="10">
      <x:c r="A10" s="28" t="str">
        <x:v>Is the prototype ready for the final demonstration?</x:v>
      </x:c>
      <x:c r="B10" s="34" t="str">
        <x:v>Yes</x:v>
      </x:c>
      <x:c r="C10" s="34"/>
      <x:c r="E10" t="str">
        <x:v>SRS updated</x:v>
      </x:c>
      <x:c r="F10" s="34" t="str">
        <x:v>Yes</x:v>
      </x:c>
    </x:row>
    <x:row r="11">
      <x:c r="A11" s="28" t="str">
        <x:v>Main priority before final presentation</x:v>
      </x:c>
      <x:c r="B11" s="34" t="str">
        <x:v>Group rehearsal Sat 31 Oct with every member presenting a part; revoke the Firebase key; change the staff passwords.</x:v>
      </x:c>
      <x:c r="C11" s="34"/>
      <x:c r="E11" t="str">
        <x:v>Microsoft Project updated</x:v>
      </x:c>
      <x:c r="F11" s="34" t="str">
        <x:v>Yes</x:v>
      </x:c>
    </x:row>
    <x:row r="12">
      <x:c r="E12" t="str">
        <x:v>GitHub current</x:v>
      </x:c>
      <x:c r="F12" s="34" t="str">
        <x:v>Yes</x:v>
      </x:c>
    </x:row>
    <x:row r="13">
      <x:c r="E13" t="str">
        <x:v>Individual contributions recorded</x:v>
      </x:c>
      <x:c r="F13" s="34" t="str">
        <x:v>No</x:v>
      </x:c>
    </x:row>
    <x:row r="14">
      <x:c r="E14" t="str">
        <x:v>Challenges/actions updated</x:v>
      </x:c>
      <x:c r="F14" s="34" t="str">
        <x:v>Yes</x:v>
      </x:c>
    </x:row>
    <x:row r="15">
      <x:c r="E15" t="str">
        <x:v>Known limitations recorded</x:v>
      </x:c>
      <x:c r="F15" s="34" t="str">
        <x:v>Yes</x:v>
      </x:c>
    </x:row>
    <x:row r="16">
      <x:c r="E16" t="str">
        <x:v>Group reflection completed</x:v>
      </x:c>
      <x:c r="F16" s="34" t="str">
        <x:v>No</x:v>
      </x:c>
    </x:row>
    <x:row r="17">
      <x:c r="E17" t="str">
        <x:v>Final demonstration prepared</x:v>
      </x:c>
      <x:c r="F17" s="34" t="str">
        <x:v>No</x:v>
      </x:c>
    </x:row>
  </x:sheetData>
  <x:mergeCells>
    <x:mergeCell ref="A1:F1"/>
    <x:mergeCell ref="B3:C3"/>
    <x:mergeCell ref="B4:C4"/>
    <x:mergeCell ref="B5:C5"/>
    <x:mergeCell ref="B6:C6"/>
    <x:mergeCell ref="B7:C7"/>
    <x:mergeCell ref="B8:C8"/>
    <x:mergeCell ref="B9:C9"/>
    <x:mergeCell ref="B10:C10"/>
    <x:mergeCell ref="B11:C11"/>
  </x:mergeCells>
  <x:dataValidations count="3">
    <x:dataValidation type="list" sqref="B4">
      <x:formula1>"Not Started,In Progress,Completed,Blocked"</x:formula1>
    </x:dataValidation>
    <x:dataValidation type="list" sqref="B10">
      <x:formula1>"Yes,No"</x:formula1>
    </x:dataValidation>
    <x:dataValidation type="list" sqref="F4:F17">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34" customHeight="1">
      <x:c r="A1" s="5" t="str">
        <x:v>Phase 3 Group Reflection</x:v>
      </x:c>
      <x:c r="B1" s="5"/>
      <x:c r="C1" s="5"/>
      <x:c r="D1" s="5"/>
      <x:c r="E1" s="5"/>
      <x:c r="F1" s="5"/>
    </x:row>
    <x:row r="3" ht="28" customHeight="1">
      <x:c r="A3" s="28" t="str">
        <x:v>1. What did the group complete successfully during development and implementation?</x:v>
      </x:c>
      <x:c r="B3" s="28"/>
      <x:c r="C3" s="28"/>
      <x:c r="D3" s="28"/>
      <x:c r="E3" s="28"/>
      <x:c r="F3" s="28"/>
    </x:row>
    <x:row r="4" ht="38" customHeight="1">
      <x:c r="A4" s="34"/>
      <x:c r="B4" s="34"/>
      <x:c r="C4" s="34"/>
      <x:c r="D4" s="34"/>
      <x:c r="E4" s="34"/>
      <x:c r="F4" s="34"/>
    </x:row>
    <x:row r="5" ht="38" customHeight="1">
      <x:c r="A5" s="34"/>
      <x:c r="B5" s="34"/>
      <x:c r="C5" s="34"/>
      <x:c r="D5" s="34"/>
      <x:c r="E5" s="34"/>
      <x:c r="F5" s="34"/>
    </x:row>
    <x:row r="7" ht="28" customHeight="1">
      <x:c r="A7" s="28" t="str">
        <x:v>2. Which development or integration challenges were the most difficult, and how were they addressed?</x:v>
      </x:c>
      <x:c r="B7" s="28"/>
      <x:c r="C7" s="28"/>
      <x:c r="D7" s="28"/>
      <x:c r="E7" s="28"/>
      <x:c r="F7" s="28"/>
    </x:row>
    <x:row r="8" ht="38" customHeight="1">
      <x:c r="A8" s="34"/>
      <x:c r="B8" s="34"/>
      <x:c r="C8" s="34"/>
      <x:c r="D8" s="34"/>
      <x:c r="E8" s="34"/>
      <x:c r="F8" s="34"/>
    </x:row>
    <x:row r="9" ht="38" customHeight="1">
      <x:c r="A9" s="34"/>
      <x:c r="B9" s="34"/>
      <x:c r="C9" s="34"/>
      <x:c r="D9" s="34"/>
      <x:c r="E9" s="34"/>
      <x:c r="F9" s="34"/>
    </x:row>
    <x:row r="11" ht="28" customHeight="1">
      <x:c r="A11" s="28" t="str">
        <x:v>3. How did the group ensure that Flutter and ASP.NET worked with the same Supabase backend?</x:v>
      </x:c>
      <x:c r="B11" s="28"/>
      <x:c r="C11" s="28"/>
      <x:c r="D11" s="28"/>
      <x:c r="E11" s="28"/>
      <x:c r="F11" s="28"/>
    </x:row>
    <x:row r="12" ht="38" customHeight="1">
      <x:c r="A12" s="34"/>
      <x:c r="B12" s="34"/>
      <x:c r="C12" s="34"/>
      <x:c r="D12" s="34"/>
      <x:c r="E12" s="34"/>
      <x:c r="F12" s="34"/>
    </x:row>
    <x:row r="13" ht="38" customHeight="1">
      <x:c r="A13" s="34"/>
      <x:c r="B13" s="34"/>
      <x:c r="C13" s="34"/>
      <x:c r="D13" s="34"/>
      <x:c r="E13" s="34"/>
      <x:c r="F13" s="34"/>
    </x:row>
    <x:row r="15" ht="28" customHeight="1">
      <x:c r="A15" s="28" t="str">
        <x:v>4. How was development work divided among group members, and was participation balanced?</x:v>
      </x:c>
      <x:c r="B15" s="28"/>
      <x:c r="C15" s="28"/>
      <x:c r="D15" s="28"/>
      <x:c r="E15" s="28"/>
      <x:c r="F15" s="28"/>
    </x:row>
    <x:row r="16" ht="38" customHeight="1">
      <x:c r="A16" s="34"/>
      <x:c r="B16" s="34"/>
      <x:c r="C16" s="34"/>
      <x:c r="D16" s="34"/>
      <x:c r="E16" s="34"/>
      <x:c r="F16" s="34"/>
    </x:row>
    <x:row r="17" ht="38" customHeight="1">
      <x:c r="A17" s="34"/>
      <x:c r="B17" s="34"/>
      <x:c r="C17" s="34"/>
      <x:c r="D17" s="34"/>
      <x:c r="E17" s="34"/>
      <x:c r="F17" s="34"/>
    </x:row>
    <x:row r="19" ht="28" customHeight="1">
      <x:c r="A19" s="28" t="str">
        <x:v>5. Which parts of the prototype are strongest, and which limitations remain?</x:v>
      </x:c>
      <x:c r="B19" s="28"/>
      <x:c r="C19" s="28"/>
      <x:c r="D19" s="28"/>
      <x:c r="E19" s="28"/>
      <x:c r="F19" s="28"/>
    </x:row>
    <x:row r="20" ht="38" customHeight="1">
      <x:c r="A20" s="34"/>
      <x:c r="B20" s="34"/>
      <x:c r="C20" s="34"/>
      <x:c r="D20" s="34"/>
      <x:c r="E20" s="34"/>
      <x:c r="F20" s="34"/>
    </x:row>
    <x:row r="21" ht="38" customHeight="1">
      <x:c r="A21" s="34"/>
      <x:c r="B21" s="34"/>
      <x:c r="C21" s="34"/>
      <x:c r="D21" s="34"/>
      <x:c r="E21" s="34"/>
      <x:c r="F21" s="34"/>
    </x:row>
    <x:row r="23" ht="28" customHeight="1">
      <x:c r="A23" s="28" t="str">
        <x:v>6. What did the group learn from developing and integrating the prototype?</x:v>
      </x:c>
      <x:c r="B23" s="28"/>
      <x:c r="C23" s="28"/>
      <x:c r="D23" s="28"/>
      <x:c r="E23" s="28"/>
      <x:c r="F23" s="28"/>
    </x:row>
    <x:row r="24" ht="38" customHeight="1">
      <x:c r="A24" s="34"/>
      <x:c r="B24" s="34"/>
      <x:c r="C24" s="34"/>
      <x:c r="D24" s="34"/>
      <x:c r="E24" s="34"/>
      <x:c r="F24" s="34"/>
    </x:row>
    <x:row r="25" ht="38" customHeight="1">
      <x:c r="A25" s="34"/>
      <x:c r="B25" s="34"/>
      <x:c r="C25" s="34"/>
      <x:c r="D25" s="34"/>
      <x:c r="E25" s="34"/>
      <x:c r="F25" s="34"/>
    </x:row>
    <x:row r="27" ht="28" customHeight="1">
      <x:c r="A27" s="28" t="str">
        <x:v>7. What would the group improve if the project continued beyond the final assessment?</x:v>
      </x:c>
      <x:c r="B27" s="28"/>
      <x:c r="C27" s="28"/>
      <x:c r="D27" s="28"/>
      <x:c r="E27" s="28"/>
      <x:c r="F27" s="28"/>
    </x:row>
    <x:row r="28" ht="38" customHeight="1">
      <x:c r="A28" s="34"/>
      <x:c r="B28" s="34"/>
      <x:c r="C28" s="34"/>
      <x:c r="D28" s="34"/>
      <x:c r="E28" s="34"/>
      <x:c r="F28" s="34"/>
    </x:row>
    <x:row r="29" ht="38" customHeight="1">
      <x:c r="A29" s="34"/>
      <x:c r="B29" s="34"/>
      <x:c r="C29" s="34"/>
      <x:c r="D29" s="34"/>
      <x:c r="E29" s="34"/>
      <x:c r="F29" s="34"/>
    </x:row>
  </x:sheetData>
  <x:mergeCells>
    <x:mergeCell ref="A1:F1"/>
    <x:mergeCell ref="A3:F3"/>
    <x:mergeCell ref="A4:F5"/>
    <x:mergeCell ref="A7:F7"/>
    <x:mergeCell ref="A8:F9"/>
    <x:mergeCell ref="A11:F11"/>
    <x:mergeCell ref="A12:F13"/>
    <x:mergeCell ref="A15:F15"/>
    <x:mergeCell ref="A16:F17"/>
    <x:mergeCell ref="A19:F19"/>
    <x:mergeCell ref="A20:F21"/>
    <x:mergeCell ref="A23:F23"/>
    <x:mergeCell ref="A24:F25"/>
    <x:mergeCell ref="A27:F27"/>
    <x:mergeCell ref="A28:F29"/>
  </x:mergeCells>
  <x:pageMargins left="0.7" right="0.7" top="0.75" bottom="0.75" header="0.3" footer="0.3"/>
</x:worksheet>
</file>